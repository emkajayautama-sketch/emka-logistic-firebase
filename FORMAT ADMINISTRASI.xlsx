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35" windowWidth="20115" windowHeight="7245" activeTab="12"/>
  </bookViews>
  <sheets>
    <sheet name="IZIN BONGKAR" sheetId="1" r:id="rId1"/>
    <sheet name="IZIN MENGELUARKAN BARANG" sheetId="4" r:id="rId2"/>
    <sheet name="IZIN PEMASUKAN BARANG" sheetId="10" r:id="rId3"/>
    <sheet name="IZIN PENUMPUKAN" sheetId="11" state="hidden" r:id="rId4"/>
    <sheet name="IZIN T4 PENUMPUKAN" sheetId="12" r:id="rId5"/>
    <sheet name="BA  PENUMPUKAN" sheetId="13" r:id="rId6"/>
    <sheet name="BA  PENGELUARAN" sheetId="14" r:id="rId7"/>
    <sheet name="BA BONGKA MUAT" sheetId="2" r:id="rId8"/>
    <sheet name="BA JPT" sheetId="5" r:id="rId9"/>
    <sheet name="TIME SHEET" sheetId="3" r:id="rId10"/>
    <sheet name="SURAT JALAN" sheetId="6" r:id="rId11"/>
    <sheet name="SURAT JALAN (2)" sheetId="15" state="hidden" r:id="rId12"/>
    <sheet name="LAPORAN BLNAN" sheetId="7" r:id="rId13"/>
    <sheet name="DKO PER 31 DES" sheetId="8" state="hidden" r:id="rId14"/>
    <sheet name="Sheet1" sheetId="9" state="hidden" r:id="rId15"/>
  </sheets>
  <definedNames>
    <definedName name="_xlnm.Print_Area" localSheetId="6">'BA  PENGELUARAN'!$A$1:$M$58</definedName>
    <definedName name="_xlnm.Print_Area" localSheetId="5">'BA  PENUMPUKAN'!$A$1:$M$56</definedName>
    <definedName name="_xlnm.Print_Area" localSheetId="7">'BA BONGKA MUAT'!$A$1:$M$81</definedName>
    <definedName name="_xlnm.Print_Area" localSheetId="13">'DKO PER 31 DES'!$A$1:$J$38</definedName>
    <definedName name="_xlnm.Print_Area" localSheetId="2">'IZIN PEMASUKAN BARANG'!$A$1:$L$50</definedName>
    <definedName name="_xlnm.Print_Area" localSheetId="3">'IZIN PENUMPUKAN'!$A$1:$L$52</definedName>
    <definedName name="_xlnm.Print_Area" localSheetId="4">'IZIN T4 PENUMPUKAN'!$A$1:$L$43</definedName>
    <definedName name="_xlnm.Print_Area" localSheetId="12">'LAPORAN BLNAN'!$A$1:$O$42</definedName>
    <definedName name="_xlnm.Print_Area" localSheetId="10">'SURAT JALAN'!$A$1:$L$37</definedName>
    <definedName name="_xlnm.Print_Area" localSheetId="11">'SURAT JALAN (2)'!$A$1:$L$36</definedName>
    <definedName name="_xlnm.Print_Area" localSheetId="9">'TIME SHEET'!$A$1:$K$47</definedName>
  </definedNames>
  <calcPr calcId="145621"/>
</workbook>
</file>

<file path=xl/calcChain.xml><?xml version="1.0" encoding="utf-8"?>
<calcChain xmlns="http://schemas.openxmlformats.org/spreadsheetml/2006/main">
  <c r="P27" i="2" l="1"/>
  <c r="J41" i="2" l="1"/>
  <c r="O42" i="2"/>
  <c r="G42" i="2"/>
  <c r="J42" i="2"/>
  <c r="J39" i="2"/>
  <c r="N6" i="3"/>
  <c r="I58" i="14" l="1"/>
  <c r="A58" i="14"/>
  <c r="I57" i="14"/>
  <c r="A57" i="14"/>
  <c r="I53" i="14"/>
  <c r="A52" i="14"/>
  <c r="G43" i="14"/>
  <c r="G46" i="14" s="1"/>
  <c r="J41" i="14"/>
  <c r="J43" i="14" s="1"/>
  <c r="J46" i="14" s="1"/>
  <c r="J40" i="14"/>
  <c r="G30" i="13"/>
  <c r="J37" i="13"/>
  <c r="J38" i="13"/>
  <c r="J40" i="13" s="1"/>
  <c r="J43" i="13" s="1"/>
  <c r="G40" i="13"/>
  <c r="G43" i="13" s="1"/>
  <c r="I56" i="13"/>
  <c r="A56" i="13"/>
  <c r="I55" i="13"/>
  <c r="A55" i="13"/>
  <c r="I50" i="13"/>
  <c r="A49" i="13"/>
  <c r="B13" i="8" l="1"/>
  <c r="C13" i="8" s="1"/>
  <c r="D13" i="8" s="1"/>
  <c r="E13" i="8" s="1"/>
  <c r="F13" i="8" s="1"/>
  <c r="G13" i="8" s="1"/>
  <c r="H13" i="8" s="1"/>
  <c r="I13" i="8" s="1"/>
  <c r="J13" i="8" s="1"/>
  <c r="L29" i="7"/>
  <c r="G27" i="8" s="1"/>
  <c r="L27" i="7"/>
  <c r="G25" i="8" s="1"/>
  <c r="B18" i="7"/>
  <c r="D18" i="7" s="1"/>
  <c r="E18" i="7" s="1"/>
  <c r="F18" i="7" s="1"/>
  <c r="G18" i="7" s="1"/>
  <c r="H18" i="7" s="1"/>
  <c r="I18" i="7" s="1"/>
  <c r="J18" i="7" s="1"/>
  <c r="K18" i="7" s="1"/>
  <c r="L18" i="7" s="1"/>
  <c r="M18" i="7" s="1"/>
  <c r="N18" i="7" s="1"/>
  <c r="O18" i="7" s="1"/>
  <c r="A4" i="6"/>
  <c r="G45" i="3"/>
  <c r="L37" i="7" s="1"/>
  <c r="G37" i="8" s="1"/>
  <c r="G37" i="3"/>
  <c r="L31" i="7" s="1"/>
  <c r="G29" i="8" s="1"/>
  <c r="C19" i="3"/>
  <c r="E19" i="3" s="1"/>
  <c r="G19" i="3" s="1"/>
  <c r="H19" i="3" s="1"/>
  <c r="J19" i="3" s="1"/>
  <c r="K19" i="3" s="1"/>
  <c r="I63" i="5"/>
  <c r="A68" i="5"/>
  <c r="I69" i="5"/>
  <c r="I68" i="5"/>
  <c r="G44" i="3" s="1"/>
  <c r="L36" i="7" s="1"/>
  <c r="G36" i="8" s="1"/>
  <c r="A69" i="5"/>
  <c r="A62" i="5"/>
  <c r="J46" i="5"/>
  <c r="G46" i="5"/>
  <c r="J41" i="5"/>
  <c r="J40" i="5"/>
  <c r="G39" i="5"/>
  <c r="J39" i="5" s="1"/>
  <c r="J43" i="5" s="1"/>
  <c r="I69" i="2"/>
  <c r="I68" i="2"/>
  <c r="A69" i="2"/>
  <c r="A68" i="2"/>
  <c r="A62" i="2"/>
  <c r="I62" i="2"/>
  <c r="J45" i="2"/>
  <c r="G45" i="2"/>
  <c r="J40" i="2"/>
  <c r="G43" i="5" l="1"/>
  <c r="A3" i="6"/>
</calcChain>
</file>

<file path=xl/sharedStrings.xml><?xml version="1.0" encoding="utf-8"?>
<sst xmlns="http://schemas.openxmlformats.org/spreadsheetml/2006/main" count="753" uniqueCount="215">
  <si>
    <t>Nomor</t>
  </si>
  <si>
    <t>Lampiran</t>
  </si>
  <si>
    <t>Perihal</t>
  </si>
  <si>
    <t>Dengan hormat,</t>
  </si>
  <si>
    <t>Dengan ini kami datang kehadapan bapak dan mengajukan permohonan kiranya bapak tidak keberatan memberikan ijin bongkar untuk kapal kami tersebut dibawah ini :</t>
  </si>
  <si>
    <t>Nama kapal</t>
  </si>
  <si>
    <t>Bendera</t>
  </si>
  <si>
    <t>Isi kotor</t>
  </si>
  <si>
    <t>Nakhoda</t>
  </si>
  <si>
    <t>ABK</t>
  </si>
  <si>
    <t>Tiba tanggal</t>
  </si>
  <si>
    <t>Dari pelabuhan</t>
  </si>
  <si>
    <t>Bongkaran</t>
  </si>
  <si>
    <t>Kegiatan bongkar muat ……………. (Nma barang) milik ………………………. (nama badan usaha/perorangan) direncanakan akan dilaksanakan kegiatannya pada tanggal …………….. (dd/mmmm/yyyy).</t>
  </si>
  <si>
    <t>Demikian surat permohonan ini kami sampaikan dan atas pertimbangan bapak memberikan ijin bongkar kami ucapkan banyak terima kasih.</t>
  </si>
  <si>
    <t>:</t>
  </si>
  <si>
    <t>…………….(Nama kapal)</t>
  </si>
  <si>
    <t>…………………… (Indonesia/negara luar)</t>
  </si>
  <si>
    <t>GT. ………………… (isi angka)</t>
  </si>
  <si>
    <t>………………………. ( Nama kapten Kapal)</t>
  </si>
  <si>
    <t>……………. (jumlah ) orang</t>
  </si>
  <si>
    <t>…………………………. (dd/mmmm/yyyy)</t>
  </si>
  <si>
    <t>……………………………… (nama pelabuhan)</t>
  </si>
  <si>
    <t>…………………… (Jumlah) Ton/M3</t>
  </si>
  <si>
    <t>Permohonan Ijin Bongkar</t>
  </si>
  <si>
    <t>Kepada</t>
  </si>
  <si>
    <t>Yth. Kepala Kantor Unit Penyelenggara Pelabuhan Kelas III Pelabuhan Marapokot</t>
  </si>
  <si>
    <t>Di-</t>
  </si>
  <si>
    <t>Marapokot</t>
  </si>
  <si>
    <t>Maraokot, …………………………………….</t>
  </si>
  <si>
    <t>PERUSAHAAN BONGKAR MUAT</t>
  </si>
  <si>
    <t>PT. EMKA JAYA UTAMA</t>
  </si>
  <si>
    <t>HILARIUS MBUSA</t>
  </si>
  <si>
    <t>DIREKTUR</t>
  </si>
  <si>
    <t>Permohonan Ijin Mengeluarkan Barang</t>
  </si>
  <si>
    <t>Dengan ini kami ……………………….. (nama perusahaan) bermaksud mengajukan permhonan untuk dapat melaksanakan proses pengeluaran barang kami pada kapal tersebut dibawah ini :</t>
  </si>
  <si>
    <t>PERUSAHAAN JASA PENGURUSAN TRANSPORTASI</t>
  </si>
  <si>
    <t>BERITA ACARA SERAH TERIMA BARANG</t>
  </si>
  <si>
    <t>pada hari ini …………………..tanggal ………………….. Bulan …………………. Tahun ……………………………………….., kami yang bertanda tangan dibawah ini masing-masing :</t>
  </si>
  <si>
    <t>I.</t>
  </si>
  <si>
    <t>Nama Perusahaan</t>
  </si>
  <si>
    <t>Alamat</t>
  </si>
  <si>
    <t>Diwakili oleh</t>
  </si>
  <si>
    <t>Jabatan</t>
  </si>
  <si>
    <t>II.</t>
  </si>
  <si>
    <r>
      <t>Dalam hal ini bertindak atas nama ………………………………………. (</t>
    </r>
    <r>
      <rPr>
        <i/>
        <sz val="11"/>
        <color theme="1"/>
        <rFont val="Calibri"/>
        <family val="2"/>
        <scheme val="minor"/>
      </rPr>
      <t>nama perusahaan )</t>
    </r>
    <r>
      <rPr>
        <sz val="11"/>
        <color theme="1"/>
        <rFont val="Calibri"/>
        <family val="2"/>
        <scheme val="minor"/>
      </rPr>
      <t xml:space="preserve"> berkedudukan di ……………………………………………. (</t>
    </r>
    <r>
      <rPr>
        <i/>
        <sz val="11"/>
        <color theme="1"/>
        <rFont val="Calibri"/>
        <family val="2"/>
        <scheme val="minor"/>
      </rPr>
      <t>alamat perusahaan)</t>
    </r>
    <r>
      <rPr>
        <sz val="11"/>
        <color theme="1"/>
        <rFont val="Calibri"/>
        <family val="2"/>
        <scheme val="minor"/>
      </rPr>
      <t>yang selanjutnya disebut P</t>
    </r>
    <r>
      <rPr>
        <b/>
        <sz val="11"/>
        <color theme="1"/>
        <rFont val="Calibri"/>
        <family val="2"/>
        <scheme val="minor"/>
      </rPr>
      <t>IHAK PERTAMA</t>
    </r>
  </si>
  <si>
    <r>
      <t xml:space="preserve">Dalam hal ini bertindak atas nama PT. EMKA JAYA UTAMA berkedudukan di Jl. Trans Danga-Aemalai, Desa Nggolombay, Kecamatan Aesesa, kabupaten Nagekeo Provinsi Nusa Tenggara Timur yang selanjutnya disebut </t>
    </r>
    <r>
      <rPr>
        <b/>
        <sz val="11"/>
        <color theme="1"/>
        <rFont val="Calibri"/>
        <family val="2"/>
        <scheme val="minor"/>
      </rPr>
      <t>PIHAK KEDUA</t>
    </r>
  </si>
  <si>
    <t>Hilarius Mbusa</t>
  </si>
  <si>
    <t>Direktur</t>
  </si>
  <si>
    <r>
      <t>Dengan ini menyatakan bahwa PIHAK PERTAMA telah menyerahkan barang milik ………………………(</t>
    </r>
    <r>
      <rPr>
        <i/>
        <sz val="11"/>
        <color theme="1"/>
        <rFont val="Calibri"/>
        <family val="2"/>
        <scheme val="minor"/>
      </rPr>
      <t>pemilik barang perorangan ataupun badan usaha)</t>
    </r>
    <r>
      <rPr>
        <sz val="11"/>
        <color theme="1"/>
        <rFont val="Calibri"/>
        <family val="2"/>
        <scheme val="minor"/>
      </rPr>
      <t>kepada PIHAK KEDUA dan PIHAK KEDUA telah menerima barang tersebut dari PIHAK PERTAMA dengan keterangan dan rincian sebagai berikut :</t>
    </r>
  </si>
  <si>
    <t>1.</t>
  </si>
  <si>
    <t>2.</t>
  </si>
  <si>
    <t>Jenis barang</t>
  </si>
  <si>
    <t>3.</t>
  </si>
  <si>
    <t>Jumlah barang</t>
  </si>
  <si>
    <t>4.</t>
  </si>
  <si>
    <t>Pelabuhan muat/asal</t>
  </si>
  <si>
    <t>5.</t>
  </si>
  <si>
    <t>Pelabuhan tujuan</t>
  </si>
  <si>
    <t>6.</t>
  </si>
  <si>
    <t>Periode bongkaran</t>
  </si>
  <si>
    <t>7.</t>
  </si>
  <si>
    <t>Jumlah yang diserahkan</t>
  </si>
  <si>
    <t>7.1.</t>
  </si>
  <si>
    <t>Hasil Bongkaran</t>
  </si>
  <si>
    <t>-</t>
  </si>
  <si>
    <t>Original / utuh</t>
  </si>
  <si>
    <t>Original / beku</t>
  </si>
  <si>
    <t>Pecah / robek</t>
  </si>
  <si>
    <t>Zak</t>
  </si>
  <si>
    <t>=</t>
  </si>
  <si>
    <t>Ton</t>
  </si>
  <si>
    <t>Total sesuai B/L</t>
  </si>
  <si>
    <t>Jumlah</t>
  </si>
  <si>
    <t>Short landed</t>
  </si>
  <si>
    <t>Susut</t>
  </si>
  <si>
    <t>7.2.</t>
  </si>
  <si>
    <t>Spare bags</t>
  </si>
  <si>
    <t>Jumlah menurun B/L</t>
  </si>
  <si>
    <t>Lembar</t>
  </si>
  <si>
    <t>Demikian Berita Acara Serah Terima Barang ini dibuat dengan sebenarnya agar yang bersangkutan / berkepentingan menjadi maklum</t>
  </si>
  <si>
    <t>Yang Menerima,</t>
  </si>
  <si>
    <t>Yang Menyerahkan</t>
  </si>
  <si>
    <t>……………………………</t>
  </si>
  <si>
    <t>Mengetahui,</t>
  </si>
  <si>
    <t>PT. ……………………………..</t>
  </si>
  <si>
    <t>………………………………………….</t>
  </si>
  <si>
    <t>……………………………….</t>
  </si>
  <si>
    <t>NOMOR : ………………………………….</t>
  </si>
  <si>
    <t>Sweeping</t>
  </si>
  <si>
    <t>Perusahaan Bongkar Muat</t>
  </si>
  <si>
    <t>Perusahaan Jasa Pengurusan Tarnsportasi</t>
  </si>
  <si>
    <t>Nama Kapal</t>
  </si>
  <si>
    <t>DWT</t>
  </si>
  <si>
    <t>Tanggal tiba</t>
  </si>
  <si>
    <t>Jumlah dan Jenis Muatan</t>
  </si>
  <si>
    <t>Pelabuhan muatan</t>
  </si>
  <si>
    <t>Penerima barang</t>
  </si>
  <si>
    <t>Hari/Tanggal</t>
  </si>
  <si>
    <t>Cuaca</t>
  </si>
  <si>
    <t>Mulai Kerja Pukul</t>
  </si>
  <si>
    <t>Palka</t>
  </si>
  <si>
    <t>Akhir Kerja Pukul</t>
  </si>
  <si>
    <t>Perusahaan Bongkar muat dan Jasa Pengurusan Transportasi</t>
  </si>
  <si>
    <t>Kepada :</t>
  </si>
  <si>
    <t>Nomor surat jalan</t>
  </si>
  <si>
    <t>Tanggal</t>
  </si>
  <si>
    <t>Dikirim dengan</t>
  </si>
  <si>
    <t>No. Polisi</t>
  </si>
  <si>
    <t>Nama Pengemudi</t>
  </si>
  <si>
    <t>SURAT JALAN</t>
  </si>
  <si>
    <t>No.</t>
  </si>
  <si>
    <t>Kode Barang</t>
  </si>
  <si>
    <t>Nama barang</t>
  </si>
  <si>
    <t>Jumlah Barang</t>
  </si>
  <si>
    <t>Keterangan</t>
  </si>
  <si>
    <t>………………………………</t>
  </si>
  <si>
    <t>Tanda terima</t>
  </si>
  <si>
    <t>(…………………………………..)</t>
  </si>
  <si>
    <t>Sopir</t>
  </si>
  <si>
    <t xml:space="preserve">Catatan : </t>
  </si>
  <si>
    <t>Berangkat pukul</t>
  </si>
  <si>
    <t>Teli kapal</t>
  </si>
  <si>
    <t>Teli gudang</t>
  </si>
  <si>
    <t>LAPORAN KEGIATAN PERUSAHAAN BONGKAR MUAT</t>
  </si>
  <si>
    <t>Nomor Pokok Wajib Pajak</t>
  </si>
  <si>
    <t xml:space="preserve">Laporan Untuk Bulan </t>
  </si>
  <si>
    <t>Alamat Perusahaan</t>
  </si>
  <si>
    <t>Pelabuhan Bongkar Muat</t>
  </si>
  <si>
    <t>No</t>
  </si>
  <si>
    <t>Ukuran DWT/GT / HPA</t>
  </si>
  <si>
    <t>Nama Agen Perusahaan Angkutan Laut</t>
  </si>
  <si>
    <t>Jumlah B/M</t>
  </si>
  <si>
    <t>Kegiatan B / M</t>
  </si>
  <si>
    <t>Selesai Tanggal /Jam</t>
  </si>
  <si>
    <t>Mulai Tanggal /Jam</t>
  </si>
  <si>
    <t>Jumlah Buruh</t>
  </si>
  <si>
    <t>Tujuan</t>
  </si>
  <si>
    <t>Jenis</t>
  </si>
  <si>
    <t>Ket</t>
  </si>
  <si>
    <t>Penunjukan 
PBM</t>
  </si>
  <si>
    <t>Asal 
Barang</t>
  </si>
  <si>
    <t>DATA KEGIATAN OPERASIONAL</t>
  </si>
  <si>
    <t>POSISI 31 DESEMBER 2022</t>
  </si>
  <si>
    <t>Bulan</t>
  </si>
  <si>
    <t>Unit Kapal  Jumlah DWT/GT/HP</t>
  </si>
  <si>
    <t>Bongkar
( Ton/M3)</t>
  </si>
  <si>
    <t>Muat
( Ton/M3)</t>
  </si>
  <si>
    <t>Jumlah 
TKBM</t>
  </si>
  <si>
    <t>Lama 
Kegiatan</t>
  </si>
  <si>
    <t>Produktifitas  B/M/Ton/Ship/Hr</t>
  </si>
  <si>
    <t>Jumlah 
Jam Efektif</t>
  </si>
  <si>
    <t>Nomor Induk Berusaha</t>
  </si>
  <si>
    <t>Mauponggo, Kel. Mauponggo, Kec. Mauponggo, Kab. Nagekeo</t>
  </si>
  <si>
    <t>9120319120253</t>
  </si>
  <si>
    <t>90.611.700.7-923.000</t>
  </si>
  <si>
    <r>
      <t xml:space="preserve">Bulan </t>
    </r>
    <r>
      <rPr>
        <b/>
        <sz val="11"/>
        <color theme="1"/>
        <rFont val="Calibri"/>
        <family val="2"/>
        <scheme val="minor"/>
      </rPr>
      <t>Agustus 2023</t>
    </r>
  </si>
  <si>
    <t xml:space="preserve">Lampiran </t>
  </si>
  <si>
    <r>
      <t>Sesuai dengan Peraturan Menteri Perhubungan Nomor  152 Tahun 2016 tentang Penyelenggaraan dan Pengusahaan Bongkar Muat Barang Dad Dan Ke Kapal, bersama ini kami PT.EMKA JAYA UTAMA (PBM/JPT) memberitahukan Laporan Bulanan kegiatan bongkar muat barang untuk bulan</t>
    </r>
    <r>
      <rPr>
        <b/>
        <sz val="11"/>
        <color theme="1"/>
        <rFont val="Calibri"/>
        <family val="2"/>
        <scheme val="minor"/>
      </rPr>
      <t xml:space="preserve"> Agustus  2023. </t>
    </r>
    <r>
      <rPr>
        <i/>
        <sz val="11"/>
        <color theme="1"/>
        <rFont val="Calibri"/>
        <family val="2"/>
        <scheme val="minor"/>
      </rPr>
      <t>(Data tabel terlampir)</t>
    </r>
  </si>
  <si>
    <t>Marapokot, 11 September 2023</t>
  </si>
  <si>
    <t>Pelabuhan Kelas III Marapokot</t>
  </si>
  <si>
    <t>Depan Polsek Mauponggo, Kel. Mauponggo, Kec. Mauponggo, Kab. Nagekeo, Provinsi Nusa Tenggara Timur (86463)</t>
  </si>
  <si>
    <t>Permohonan Ijin Pemasukan Barang</t>
  </si>
  <si>
    <t>Dengan ini kami  PT. EMKA JAYA UTAMA bermaksud mengajukan permhonan untuk dapat melaksanakan proses pemasukan barang kami ke lapangan penumpukan  sebagai berikut ::</t>
  </si>
  <si>
    <t>Nama Barang</t>
  </si>
  <si>
    <t>Volume</t>
  </si>
  <si>
    <t>Tanggal mulai</t>
  </si>
  <si>
    <t>Tanggal Selesai</t>
  </si>
  <si>
    <t>Maraokot, 18 Maret 2025</t>
  </si>
  <si>
    <t>006/PT.EMKA/NGK/03/2025</t>
  </si>
  <si>
    <t>005/PT.EMKA/NGK/03/2025</t>
  </si>
  <si>
    <t>007/PT.EMKA/NGK/03/2025</t>
  </si>
  <si>
    <t>Sehubungan dengan perihal surat di atas dan memperhatikan Peraturan Menteri Perhubungan Nomor : 152 Tahun 2016 tentang Penyelenggaaraan dan Pengurusan Bongkar Muat Barang dari dan ke Kapal, dengan ini kami mengajukan permohonan Tempat Penumpukan Material. Adapun material yang akan kami kirim ke tempat penumpukan adalah berupa Biji Besi.</t>
  </si>
  <si>
    <t>Demikian permohonan kami, bilamana disetujui kami menyatakan bersedia memenuhi semua ketentuan peraturan perundang-undangan yang berlaku.</t>
  </si>
  <si>
    <r>
      <t xml:space="preserve">Kegiatan Pemasukan Pasir Besi milik </t>
    </r>
    <r>
      <rPr>
        <b/>
        <sz val="13"/>
        <color theme="1"/>
        <rFont val="Calibri"/>
        <family val="2"/>
        <scheme val="minor"/>
      </rPr>
      <t xml:space="preserve">PT.LISINDO SANTOSA </t>
    </r>
    <r>
      <rPr>
        <sz val="13"/>
        <color theme="1"/>
        <rFont val="Calibri"/>
        <family val="2"/>
        <scheme val="minor"/>
      </rPr>
      <t>direncanakan akan dilaksanakan kegiatannya pada tanggal 19 Maret 2025.</t>
    </r>
  </si>
  <si>
    <t>Tembusan disampaikan dengan hormat :</t>
  </si>
  <si>
    <t xml:space="preserve">1. Kepala KP3 Laut Pelabuhan Marapokot </t>
  </si>
  <si>
    <t>di Marapokor</t>
  </si>
  <si>
    <t>2. Arsip</t>
  </si>
  <si>
    <t>Demikian surat permohonan ini kami sampaikan dan atas pertimbangan bapak memberikan ijin pemasukan barang kami ucapkan banyak terima kasih.</t>
  </si>
  <si>
    <t>Demikian surat permohonan ini kami sampaikan dan atas pertimbangan bapak memberikan ijin penumpukan barang  kami ucapkan banyak terima kasih.</t>
  </si>
  <si>
    <t>Permohonan Tempat Penumpukan Material</t>
  </si>
  <si>
    <t>Yth. Kepala Kantor Unit Penyelenggara 
Pelabuhan Kelas III Pelabuhan 
Marapokot</t>
  </si>
  <si>
    <t>Tempat penumpukan</t>
  </si>
  <si>
    <t>Tanggal muat</t>
  </si>
  <si>
    <t>Tanggal selesai</t>
  </si>
  <si>
    <t>Asal barang</t>
  </si>
  <si>
    <t>Jumlah Retase</t>
  </si>
  <si>
    <t>Reit</t>
  </si>
  <si>
    <t>Total Muatan</t>
  </si>
  <si>
    <t>PT. Lisindo Santosa</t>
  </si>
  <si>
    <t>PT. LISINDO SANTOSA</t>
  </si>
  <si>
    <t>Jalan Dukuh Kupang Barat 1B No. 5 - Surabaya</t>
  </si>
  <si>
    <r>
      <t>Dalam hal ini bertindak atas nama PT. LISINDO SANTOSA  berkedudukan di  Jalan Dukuh Kupang Barat 1B No. 5 - Surabaya yang selanjutnya disebut P</t>
    </r>
    <r>
      <rPr>
        <b/>
        <sz val="11"/>
        <color theme="1"/>
        <rFont val="Calibri"/>
        <family val="2"/>
        <scheme val="minor"/>
      </rPr>
      <t>IHAK PERTAMA</t>
    </r>
  </si>
  <si>
    <r>
      <t xml:space="preserve">Dalam hal ini bertindak atas nama </t>
    </r>
    <r>
      <rPr>
        <b/>
        <sz val="11"/>
        <color theme="1"/>
        <rFont val="Calibri"/>
        <family val="2"/>
        <scheme val="minor"/>
      </rPr>
      <t xml:space="preserve">PT. EMKA JAYA UTAMA </t>
    </r>
    <r>
      <rPr>
        <sz val="11"/>
        <color theme="1"/>
        <rFont val="Calibri"/>
        <family val="2"/>
        <scheme val="minor"/>
      </rPr>
      <t xml:space="preserve">berkedudukan di Jl. Trans Danga-Aemalai, Desa Nggolombay, Kecamatan Aesesa, kabupaten Nagekeo Provinsi Nusa Tenggara Timur yang selanjutnya disebut </t>
    </r>
    <r>
      <rPr>
        <b/>
        <sz val="11"/>
        <color theme="1"/>
        <rFont val="Calibri"/>
        <family val="2"/>
        <scheme val="minor"/>
      </rPr>
      <t>PIHAK KEDUA</t>
    </r>
  </si>
  <si>
    <r>
      <t xml:space="preserve">Dengan ini menyatakan bahwa </t>
    </r>
    <r>
      <rPr>
        <b/>
        <sz val="11"/>
        <color theme="1"/>
        <rFont val="Calibri"/>
        <family val="2"/>
        <scheme val="minor"/>
      </rPr>
      <t xml:space="preserve">PIHAK PERTAMA </t>
    </r>
    <r>
      <rPr>
        <sz val="11"/>
        <color theme="1"/>
        <rFont val="Calibri"/>
        <family val="2"/>
        <scheme val="minor"/>
      </rPr>
      <t xml:space="preserve">telah menyerahkan barang milik  </t>
    </r>
    <r>
      <rPr>
        <b/>
        <sz val="11"/>
        <color theme="1"/>
        <rFont val="Calibri"/>
        <family val="2"/>
        <scheme val="minor"/>
      </rPr>
      <t xml:space="preserve">PT. LISINDO SANTOSA </t>
    </r>
    <r>
      <rPr>
        <sz val="11"/>
        <color theme="1"/>
        <rFont val="Calibri"/>
        <family val="2"/>
        <scheme val="minor"/>
      </rPr>
      <t xml:space="preserve">kepada </t>
    </r>
    <r>
      <rPr>
        <b/>
        <sz val="11"/>
        <color theme="1"/>
        <rFont val="Calibri"/>
        <family val="2"/>
        <scheme val="minor"/>
      </rPr>
      <t xml:space="preserve">PIHAK KEDUA </t>
    </r>
    <r>
      <rPr>
        <sz val="11"/>
        <color theme="1"/>
        <rFont val="Calibri"/>
        <family val="2"/>
        <scheme val="minor"/>
      </rPr>
      <t xml:space="preserve">dan </t>
    </r>
    <r>
      <rPr>
        <b/>
        <sz val="11"/>
        <color theme="1"/>
        <rFont val="Calibri"/>
        <family val="2"/>
        <scheme val="minor"/>
      </rPr>
      <t xml:space="preserve">PIHAK KEDUA </t>
    </r>
    <r>
      <rPr>
        <sz val="11"/>
        <color theme="1"/>
        <rFont val="Calibri"/>
        <family val="2"/>
        <scheme val="minor"/>
      </rPr>
      <t xml:space="preserve">telah menerima barang tersebut dari </t>
    </r>
    <r>
      <rPr>
        <b/>
        <sz val="11"/>
        <color theme="1"/>
        <rFont val="Calibri"/>
        <family val="2"/>
        <scheme val="minor"/>
      </rPr>
      <t xml:space="preserve">PIHAK PERTAMA </t>
    </r>
    <r>
      <rPr>
        <sz val="11"/>
        <color theme="1"/>
        <rFont val="Calibri"/>
        <family val="2"/>
        <scheme val="minor"/>
      </rPr>
      <t>dengan keterangan dan rincian sebagai berikut :</t>
    </r>
  </si>
  <si>
    <t>1600 Ton</t>
  </si>
  <si>
    <t>Desa Nggolonio</t>
  </si>
  <si>
    <t>PelataranPelabuhan Marapokot</t>
  </si>
  <si>
    <r>
      <t xml:space="preserve">pada hari ini  </t>
    </r>
    <r>
      <rPr>
        <b/>
        <sz val="11"/>
        <color theme="1"/>
        <rFont val="Calibri"/>
        <family val="2"/>
        <scheme val="minor"/>
      </rPr>
      <t xml:space="preserve">Selasa </t>
    </r>
    <r>
      <rPr>
        <sz val="11"/>
        <color theme="1"/>
        <rFont val="Calibri"/>
        <family val="2"/>
        <scheme val="minor"/>
      </rPr>
      <t xml:space="preserve">tanggal </t>
    </r>
    <r>
      <rPr>
        <b/>
        <sz val="11"/>
        <color theme="1"/>
        <rFont val="Calibri"/>
        <family val="2"/>
        <scheme val="minor"/>
      </rPr>
      <t xml:space="preserve">Dua Puluh Sembilan </t>
    </r>
    <r>
      <rPr>
        <sz val="11"/>
        <color theme="1"/>
        <rFont val="Calibri"/>
        <family val="2"/>
        <scheme val="minor"/>
      </rPr>
      <t xml:space="preserve"> Bulan  </t>
    </r>
    <r>
      <rPr>
        <b/>
        <sz val="11"/>
        <color theme="1"/>
        <rFont val="Calibri"/>
        <family val="2"/>
        <scheme val="minor"/>
      </rPr>
      <t>September</t>
    </r>
    <r>
      <rPr>
        <sz val="11"/>
        <color theme="1"/>
        <rFont val="Calibri"/>
        <family val="2"/>
        <scheme val="minor"/>
      </rPr>
      <t xml:space="preserve"> Tahun </t>
    </r>
    <r>
      <rPr>
        <b/>
        <sz val="11"/>
        <color theme="1"/>
        <rFont val="Calibri"/>
        <family val="2"/>
        <scheme val="minor"/>
      </rPr>
      <t>Dua Ribu Dua Puluh Empat</t>
    </r>
    <r>
      <rPr>
        <sz val="11"/>
        <color theme="1"/>
        <rFont val="Calibri"/>
        <family val="2"/>
        <scheme val="minor"/>
      </rPr>
      <t xml:space="preserve"> kami yang bertanda tangan dibawah ini masing-masing :</t>
    </r>
  </si>
  <si>
    <t>NOMOR : 020/PT.EMKA/NGK/09/2025</t>
  </si>
  <si>
    <t>6.2.</t>
  </si>
  <si>
    <t>6.1.</t>
  </si>
  <si>
    <t>Asal Barang</t>
  </si>
  <si>
    <t>3. Arsip</t>
  </si>
  <si>
    <t>2. Pemilik barang  PT/CV. ……………..</t>
  </si>
  <si>
    <t>di Sesuaikan</t>
  </si>
  <si>
    <r>
      <t>Maraokot,</t>
    </r>
    <r>
      <rPr>
        <sz val="13"/>
        <color rgb="FFFF0000"/>
        <rFont val="Calibri"/>
        <family val="2"/>
        <scheme val="minor"/>
      </rPr>
      <t xml:space="preserve"> 18 Maret 2025</t>
    </r>
  </si>
  <si>
    <t>Hasil  Pemasukan/Penumpukan</t>
  </si>
  <si>
    <t>Hasil Pengeluaran barang</t>
  </si>
  <si>
    <t>Depan Polsek Mauponggo, Kel. Mauponggo</t>
  </si>
  <si>
    <t xml:space="preserve">Kec. Mauponggo, Kab. Nagekeo, </t>
  </si>
  <si>
    <t>Prov. NTT (86463)</t>
  </si>
  <si>
    <t>S U R A T   J A L A N</t>
  </si>
  <si>
    <t>T I M E   S H E E 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</si>
</sst>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0_-;\-* #,##0_-;_-* &quot;-&quot;_-;_-@_-"/>
  </numFmts>
  <fonts count="20" x14ac:knownFonts="1">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b/>
      <u/>
      <sz val="11"/>
      <color theme="1"/>
      <name val="Calibri"/>
      <family val="2"/>
      <scheme val="minor"/>
    </font>
    <font>
      <i/>
      <sz val="11"/>
      <color theme="1"/>
      <name val="Calibri"/>
      <family val="2"/>
      <scheme val="minor"/>
    </font>
    <font>
      <b/>
      <sz val="22"/>
      <color theme="1"/>
      <name val="Calibri"/>
      <family val="2"/>
      <scheme val="minor"/>
    </font>
    <font>
      <b/>
      <sz val="20"/>
      <color theme="1"/>
      <name val="Calibri"/>
      <family val="2"/>
      <scheme val="minor"/>
    </font>
    <font>
      <b/>
      <sz val="18"/>
      <color theme="1"/>
      <name val="Calibri"/>
      <family val="2"/>
      <scheme val="minor"/>
    </font>
    <font>
      <sz val="22"/>
      <color theme="1"/>
      <name val="Calibri"/>
      <family val="2"/>
      <scheme val="minor"/>
    </font>
    <font>
      <sz val="26"/>
      <color theme="1"/>
      <name val="Calibri"/>
      <family val="2"/>
      <scheme val="minor"/>
    </font>
    <font>
      <b/>
      <sz val="14"/>
      <color theme="1"/>
      <name val="Calibri"/>
      <family val="2"/>
      <scheme val="minor"/>
    </font>
    <font>
      <sz val="14"/>
      <color theme="1"/>
      <name val="Arial Black"/>
      <family val="2"/>
    </font>
    <font>
      <b/>
      <sz val="11"/>
      <color theme="1"/>
      <name val="Arial Black"/>
      <family val="2"/>
    </font>
    <font>
      <b/>
      <sz val="13"/>
      <color theme="1"/>
      <name val="Calibri"/>
      <family val="2"/>
      <scheme val="minor"/>
    </font>
    <font>
      <sz val="13"/>
      <color theme="1"/>
      <name val="Calibri"/>
      <family val="2"/>
      <scheme val="minor"/>
    </font>
    <font>
      <b/>
      <i/>
      <sz val="13"/>
      <color theme="1"/>
      <name val="Calibri"/>
      <family val="2"/>
      <scheme val="minor"/>
    </font>
    <font>
      <b/>
      <u/>
      <sz val="13"/>
      <color theme="1"/>
      <name val="Calibri"/>
      <family val="2"/>
      <scheme val="minor"/>
    </font>
    <font>
      <sz val="13"/>
      <color rgb="FFFF0000"/>
      <name val="Calibri"/>
      <family val="2"/>
      <scheme val="minor"/>
    </font>
    <font>
      <b/>
      <sz val="16"/>
      <color theme="1"/>
      <name val="Calibri"/>
      <family val="2"/>
      <scheme val="minor"/>
    </font>
  </fonts>
  <fills count="2">
    <fill>
      <patternFill patternType="none"/>
    </fill>
    <fill>
      <patternFill patternType="gray125"/>
    </fill>
  </fills>
  <borders count="1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41" fontId="1" fillId="0" borderId="0" applyFont="0" applyFill="0" applyBorder="0" applyAlignment="0" applyProtection="0"/>
  </cellStyleXfs>
  <cellXfs count="130">
    <xf numFmtId="0" fontId="0" fillId="0" borderId="0" xfId="0"/>
    <xf numFmtId="0" fontId="2" fillId="0" borderId="0" xfId="0" applyFont="1"/>
    <xf numFmtId="0" fontId="3" fillId="0" borderId="0" xfId="0" applyFont="1"/>
    <xf numFmtId="0" fontId="0" fillId="0" borderId="0" xfId="0" applyAlignment="1">
      <alignment horizontal="justify" vertical="top" wrapText="1"/>
    </xf>
    <xf numFmtId="0" fontId="4" fillId="0" borderId="0" xfId="0" applyFont="1"/>
    <xf numFmtId="0" fontId="0" fillId="0" borderId="0" xfId="0" applyAlignment="1">
      <alignment horizontal="center"/>
    </xf>
    <xf numFmtId="41" fontId="0" fillId="0" borderId="0" xfId="1" applyFont="1"/>
    <xf numFmtId="0" fontId="2" fillId="0" borderId="0" xfId="0" applyFont="1" applyAlignment="1">
      <alignment horizontal="center"/>
    </xf>
    <xf numFmtId="0" fontId="0" fillId="0" borderId="1" xfId="0" applyBorder="1"/>
    <xf numFmtId="0" fontId="2" fillId="0" borderId="1" xfId="0" applyFont="1" applyBorder="1"/>
    <xf numFmtId="41" fontId="2" fillId="0" borderId="1" xfId="0" applyNumberFormat="1" applyFont="1" applyBorder="1"/>
    <xf numFmtId="0" fontId="2" fillId="0" borderId="1" xfId="0" applyFont="1" applyBorder="1" applyAlignment="1">
      <alignment horizontal="center"/>
    </xf>
    <xf numFmtId="0" fontId="2" fillId="0" borderId="0" xfId="0" applyFont="1" applyAlignment="1"/>
    <xf numFmtId="0" fontId="2" fillId="0" borderId="0" xfId="0" applyFont="1" applyAlignment="1">
      <alignment horizontal="center" vertical="center"/>
    </xf>
    <xf numFmtId="0" fontId="5" fillId="0" borderId="0" xfId="0" applyFont="1" applyAlignment="1">
      <alignment horizontal="center" vertical="center"/>
    </xf>
    <xf numFmtId="0" fontId="2" fillId="0" borderId="2" xfId="0" applyFont="1" applyBorder="1" applyAlignment="1">
      <alignment horizontal="center" vertical="center"/>
    </xf>
    <xf numFmtId="0" fontId="5" fillId="0" borderId="2" xfId="0" applyFont="1" applyBorder="1" applyAlignment="1">
      <alignment horizontal="center" vertical="center"/>
    </xf>
    <xf numFmtId="0" fontId="0" fillId="0" borderId="0" xfId="0" applyAlignment="1">
      <alignment horizontal="left"/>
    </xf>
    <xf numFmtId="0" fontId="5" fillId="0" borderId="0" xfId="0" applyFont="1" applyAlignment="1"/>
    <xf numFmtId="0" fontId="0" fillId="0" borderId="0" xfId="0" applyAlignment="1"/>
    <xf numFmtId="0" fontId="4" fillId="0" borderId="0" xfId="0" applyFont="1" applyAlignment="1"/>
    <xf numFmtId="0" fontId="0" fillId="0" borderId="5" xfId="0" applyBorder="1"/>
    <xf numFmtId="0" fontId="0" fillId="0" borderId="6" xfId="0" applyBorder="1"/>
    <xf numFmtId="0" fontId="0" fillId="0" borderId="7" xfId="0" applyBorder="1"/>
    <xf numFmtId="0" fontId="0" fillId="0" borderId="0"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Alignment="1">
      <alignment vertical="top" wrapText="1"/>
    </xf>
    <xf numFmtId="0" fontId="0" fillId="0" borderId="1" xfId="0" applyBorder="1" applyAlignment="1">
      <alignment vertical="top" wrapText="1"/>
    </xf>
    <xf numFmtId="0" fontId="2" fillId="0" borderId="2" xfId="0" applyFont="1" applyBorder="1" applyAlignment="1">
      <alignment horizontal="center"/>
    </xf>
    <xf numFmtId="0" fontId="0" fillId="0" borderId="2" xfId="0" applyBorder="1" applyAlignment="1">
      <alignment horizontal="center"/>
    </xf>
    <xf numFmtId="0" fontId="0" fillId="0" borderId="2" xfId="0" applyBorder="1"/>
    <xf numFmtId="0" fontId="12" fillId="0" borderId="0" xfId="0" applyFont="1" applyAlignment="1">
      <alignment vertical="center"/>
    </xf>
    <xf numFmtId="0" fontId="13" fillId="0" borderId="5" xfId="0" applyFont="1" applyBorder="1"/>
    <xf numFmtId="0" fontId="0" fillId="0" borderId="0" xfId="0" applyBorder="1" applyAlignment="1">
      <alignment vertical="top" wrapText="1"/>
    </xf>
    <xf numFmtId="0" fontId="0" fillId="0" borderId="5" xfId="0" applyBorder="1" applyAlignment="1">
      <alignment vertical="top" wrapText="1"/>
    </xf>
    <xf numFmtId="0" fontId="0" fillId="0" borderId="0" xfId="0" applyAlignment="1">
      <alignment horizontal="center" vertical="center"/>
    </xf>
    <xf numFmtId="0" fontId="2" fillId="0" borderId="2" xfId="0" applyFont="1" applyBorder="1" applyAlignment="1">
      <alignment horizontal="center" vertical="center" wrapText="1"/>
    </xf>
    <xf numFmtId="41" fontId="0" fillId="0" borderId="0" xfId="0" applyNumberFormat="1"/>
    <xf numFmtId="0" fontId="0" fillId="0" borderId="0" xfId="0"/>
    <xf numFmtId="0" fontId="0" fillId="0" borderId="0" xfId="0" quotePrefix="1"/>
    <xf numFmtId="0" fontId="0" fillId="0" borderId="0" xfId="0"/>
    <xf numFmtId="0" fontId="0" fillId="0" borderId="0" xfId="0" applyAlignment="1">
      <alignment horizontal="justify" vertical="top" wrapText="1"/>
    </xf>
    <xf numFmtId="0" fontId="0" fillId="0" borderId="0" xfId="0"/>
    <xf numFmtId="0" fontId="0" fillId="0" borderId="0" xfId="0" applyAlignment="1">
      <alignment horizontal="center"/>
    </xf>
    <xf numFmtId="0" fontId="15" fillId="0" borderId="0" xfId="0" applyFont="1"/>
    <xf numFmtId="15" fontId="15" fillId="0" borderId="0" xfId="0" applyNumberFormat="1" applyFont="1"/>
    <xf numFmtId="0" fontId="15" fillId="0" borderId="0" xfId="0" quotePrefix="1" applyFont="1"/>
    <xf numFmtId="0" fontId="15" fillId="0" borderId="0" xfId="0" applyFont="1" applyAlignment="1">
      <alignment horizontal="justify" vertical="top" wrapText="1"/>
    </xf>
    <xf numFmtId="0" fontId="14" fillId="0" borderId="0" xfId="0" applyFont="1"/>
    <xf numFmtId="0" fontId="17" fillId="0" borderId="0" xfId="0" applyFont="1"/>
    <xf numFmtId="20" fontId="15" fillId="0" borderId="0" xfId="0" quotePrefix="1" applyNumberFormat="1" applyFont="1"/>
    <xf numFmtId="0" fontId="15" fillId="0" borderId="0" xfId="0" applyFont="1" applyAlignment="1">
      <alignment vertical="top" wrapText="1"/>
    </xf>
    <xf numFmtId="0" fontId="15" fillId="0" borderId="0" xfId="0" applyFont="1" applyAlignment="1">
      <alignment horizontal="left" vertical="top" wrapText="1"/>
    </xf>
    <xf numFmtId="20" fontId="0" fillId="0" borderId="0" xfId="0" quotePrefix="1" applyNumberFormat="1"/>
    <xf numFmtId="0" fontId="18" fillId="0" borderId="0" xfId="0" applyFont="1"/>
    <xf numFmtId="0" fontId="0" fillId="0" borderId="0" xfId="0"/>
    <xf numFmtId="0" fontId="0" fillId="0" borderId="0" xfId="0" applyAlignment="1">
      <alignment horizontal="center"/>
    </xf>
    <xf numFmtId="0" fontId="2" fillId="0" borderId="0" xfId="0" applyFont="1" applyAlignment="1">
      <alignment horizontal="center"/>
    </xf>
    <xf numFmtId="0" fontId="0" fillId="0" borderId="14" xfId="0" applyBorder="1"/>
    <xf numFmtId="0" fontId="0" fillId="0" borderId="4" xfId="0" applyBorder="1"/>
    <xf numFmtId="0" fontId="0" fillId="0" borderId="2" xfId="0" applyBorder="1" applyAlignment="1">
      <alignment horizontal="center"/>
    </xf>
    <xf numFmtId="0" fontId="0" fillId="0" borderId="2" xfId="0" applyBorder="1"/>
    <xf numFmtId="0" fontId="2" fillId="0" borderId="2" xfId="0" applyFont="1" applyBorder="1" applyAlignment="1">
      <alignment horizontal="center"/>
    </xf>
    <xf numFmtId="0" fontId="19" fillId="0" borderId="3" xfId="0" applyFont="1" applyBorder="1"/>
    <xf numFmtId="0" fontId="0" fillId="0" borderId="0" xfId="0" applyAlignment="1">
      <alignment horizontal="justify" vertical="top" wrapText="1"/>
    </xf>
    <xf numFmtId="0" fontId="10" fillId="0" borderId="0" xfId="0" applyFont="1" applyBorder="1" applyAlignment="1">
      <alignment horizontal="center" vertical="center"/>
    </xf>
    <xf numFmtId="0" fontId="6" fillId="0" borderId="0" xfId="0" applyFont="1" applyBorder="1" applyAlignment="1">
      <alignment horizontal="center" vertical="center"/>
    </xf>
    <xf numFmtId="0" fontId="3" fillId="0" borderId="0" xfId="0" applyFont="1" applyAlignment="1">
      <alignment horizontal="justify" vertical="top" wrapText="1"/>
    </xf>
    <xf numFmtId="0" fontId="15" fillId="0" borderId="0" xfId="0" applyFont="1" applyAlignment="1">
      <alignment horizontal="justify" vertical="top" wrapText="1"/>
    </xf>
    <xf numFmtId="0" fontId="14" fillId="0" borderId="0" xfId="0" applyFont="1" applyBorder="1" applyAlignment="1">
      <alignment horizontal="center" vertical="center"/>
    </xf>
    <xf numFmtId="0" fontId="16" fillId="0" borderId="0" xfId="0" applyFont="1" applyAlignment="1">
      <alignment horizontal="justify" vertical="top" wrapText="1"/>
    </xf>
    <xf numFmtId="0" fontId="15" fillId="0" borderId="0" xfId="0" applyFont="1" applyAlignment="1">
      <alignment horizontal="left" vertical="top" wrapText="1"/>
    </xf>
    <xf numFmtId="0" fontId="0" fillId="0" borderId="0" xfId="0"/>
    <xf numFmtId="0" fontId="0" fillId="0" borderId="0" xfId="0" applyAlignment="1">
      <alignment horizontal="center"/>
    </xf>
    <xf numFmtId="0" fontId="4" fillId="0" borderId="0" xfId="0" applyFont="1" applyAlignment="1">
      <alignment horizontal="center"/>
    </xf>
    <xf numFmtId="0" fontId="2" fillId="0" borderId="0" xfId="0" applyFont="1" applyAlignment="1">
      <alignment horizontal="center"/>
    </xf>
    <xf numFmtId="0" fontId="9" fillId="0" borderId="0" xfId="0" applyFont="1" applyBorder="1" applyAlignment="1">
      <alignment horizontal="center" vertical="center"/>
    </xf>
    <xf numFmtId="0" fontId="8" fillId="0" borderId="5" xfId="0" applyFont="1" applyBorder="1" applyAlignment="1">
      <alignment horizontal="center" vertical="center"/>
    </xf>
    <xf numFmtId="0" fontId="8" fillId="0" borderId="1" xfId="0" applyFont="1" applyBorder="1" applyAlignment="1">
      <alignment horizontal="center" vertical="center"/>
    </xf>
    <xf numFmtId="0" fontId="8" fillId="0" borderId="6"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0" fillId="0" borderId="0" xfId="0" applyAlignment="1">
      <alignment horizontal="left" wrapText="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vertical="center"/>
    </xf>
    <xf numFmtId="0" fontId="5" fillId="0" borderId="4" xfId="0" applyFont="1" applyBorder="1" applyAlignment="1">
      <alignment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0" fillId="0" borderId="13" xfId="0" applyBorder="1" applyAlignment="1">
      <alignment horizontal="center"/>
    </xf>
    <xf numFmtId="0" fontId="0" fillId="0" borderId="15" xfId="0" applyBorder="1" applyAlignment="1">
      <alignment horizontal="center"/>
    </xf>
    <xf numFmtId="0" fontId="0" fillId="0" borderId="12" xfId="0" applyBorder="1" applyAlignment="1">
      <alignment horizontal="center"/>
    </xf>
    <xf numFmtId="0" fontId="0" fillId="0" borderId="3" xfId="0" applyBorder="1"/>
    <xf numFmtId="0" fontId="0" fillId="0" borderId="14" xfId="0" applyBorder="1"/>
    <xf numFmtId="0" fontId="0" fillId="0" borderId="4" xfId="0" applyBorder="1"/>
    <xf numFmtId="0" fontId="12" fillId="0" borderId="5" xfId="0" applyFont="1" applyBorder="1" applyAlignment="1">
      <alignment horizontal="center" vertical="center"/>
    </xf>
    <xf numFmtId="0" fontId="12" fillId="0" borderId="1" xfId="0" applyFont="1" applyBorder="1" applyAlignment="1">
      <alignment horizontal="center" vertical="center"/>
    </xf>
    <xf numFmtId="0" fontId="12" fillId="0" borderId="6"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0" fillId="0" borderId="2" xfId="0" applyBorder="1" applyAlignment="1">
      <alignment horizont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2" fillId="0" borderId="6"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0" fillId="0" borderId="3" xfId="0" applyBorder="1" applyAlignment="1">
      <alignment horizontal="center"/>
    </xf>
    <xf numFmtId="0" fontId="0" fillId="0" borderId="14" xfId="0" applyBorder="1" applyAlignment="1">
      <alignment horizontal="center"/>
    </xf>
    <xf numFmtId="0" fontId="0" fillId="0" borderId="4" xfId="0" applyBorder="1" applyAlignment="1">
      <alignment horizontal="center"/>
    </xf>
    <xf numFmtId="0" fontId="0" fillId="0" borderId="2" xfId="0" applyBorder="1"/>
    <xf numFmtId="0" fontId="0" fillId="0" borderId="7" xfId="0"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2" fillId="0" borderId="2" xfId="0" applyFont="1" applyBorder="1" applyAlignment="1">
      <alignment horizontal="center"/>
    </xf>
    <xf numFmtId="0" fontId="8" fillId="0" borderId="3" xfId="0" applyFont="1" applyBorder="1" applyAlignment="1">
      <alignment horizontal="center"/>
    </xf>
    <xf numFmtId="0" fontId="8" fillId="0" borderId="14" xfId="0" applyFont="1" applyBorder="1" applyAlignment="1">
      <alignment horizontal="center"/>
    </xf>
    <xf numFmtId="0" fontId="8" fillId="0" borderId="4" xfId="0" applyFont="1" applyBorder="1" applyAlignment="1">
      <alignment horizontal="center"/>
    </xf>
    <xf numFmtId="0" fontId="7" fillId="0" borderId="0" xfId="0" applyFont="1" applyBorder="1" applyAlignment="1">
      <alignment horizontal="center"/>
    </xf>
    <xf numFmtId="0" fontId="8" fillId="0" borderId="0" xfId="0" applyFont="1" applyAlignment="1">
      <alignment horizontal="center" vertical="center"/>
    </xf>
    <xf numFmtId="0" fontId="11" fillId="0" borderId="0" xfId="0" applyFont="1" applyAlignment="1">
      <alignment horizontal="center" vertical="center"/>
    </xf>
    <xf numFmtId="0" fontId="0" fillId="0" borderId="0" xfId="0" applyAlignment="1">
      <alignment horizontal="left" vertical="top" wrapText="1"/>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7327</xdr:colOff>
      <xdr:row>0</xdr:row>
      <xdr:rowOff>23135</xdr:rowOff>
    </xdr:from>
    <xdr:to>
      <xdr:col>11</xdr:col>
      <xdr:colOff>569302</xdr:colOff>
      <xdr:row>5</xdr:row>
      <xdr:rowOff>99019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27" y="23135"/>
          <a:ext cx="6262321" cy="10283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11</xdr:col>
      <xdr:colOff>575896</xdr:colOff>
      <xdr:row>5</xdr:row>
      <xdr:rowOff>85409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9525"/>
          <a:ext cx="6262321" cy="10283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11</xdr:col>
      <xdr:colOff>375871</xdr:colOff>
      <xdr:row>4</xdr:row>
      <xdr:rowOff>161609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9525"/>
          <a:ext cx="6262321" cy="10283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11</xdr:col>
      <xdr:colOff>413971</xdr:colOff>
      <xdr:row>4</xdr:row>
      <xdr:rowOff>161609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9525"/>
          <a:ext cx="6262321" cy="102838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0</xdr:row>
      <xdr:rowOff>9525</xdr:rowOff>
    </xdr:from>
    <xdr:to>
      <xdr:col>11</xdr:col>
      <xdr:colOff>556846</xdr:colOff>
      <xdr:row>4</xdr:row>
      <xdr:rowOff>161609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9525"/>
          <a:ext cx="6262321" cy="1028384"/>
        </a:xfrm>
        <a:prstGeom prst="rect">
          <a:avLst/>
        </a:prstGeom>
      </xdr:spPr>
    </xdr:pic>
    <xdr:clientData/>
  </xdr:twoCellAnchor>
  <xdr:twoCellAnchor editAs="oneCell">
    <xdr:from>
      <xdr:col>13</xdr:col>
      <xdr:colOff>476250</xdr:colOff>
      <xdr:row>33</xdr:row>
      <xdr:rowOff>114300</xdr:rowOff>
    </xdr:from>
    <xdr:to>
      <xdr:col>19</xdr:col>
      <xdr:colOff>147320</xdr:colOff>
      <xdr:row>37</xdr:row>
      <xdr:rowOff>170815</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48550" y="7210425"/>
          <a:ext cx="3328670" cy="932815"/>
        </a:xfrm>
        <a:prstGeom prst="rect">
          <a:avLst/>
        </a:prstGeom>
        <a:noFill/>
        <a:ln>
          <a:noFill/>
        </a:ln>
        <a:effec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14654</xdr:colOff>
      <xdr:row>0</xdr:row>
      <xdr:rowOff>0</xdr:rowOff>
    </xdr:from>
    <xdr:to>
      <xdr:col>12</xdr:col>
      <xdr:colOff>571500</xdr:colOff>
      <xdr:row>4</xdr:row>
      <xdr:rowOff>117231</xdr:rowOff>
    </xdr:to>
    <xdr:pic>
      <xdr:nvPicPr>
        <xdr:cNvPr id="2" name="Picture 1"/>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7242"/>
        <a:stretch/>
      </xdr:blipFill>
      <xdr:spPr>
        <a:xfrm>
          <a:off x="14654" y="0"/>
          <a:ext cx="6389077" cy="8792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14654</xdr:colOff>
      <xdr:row>0</xdr:row>
      <xdr:rowOff>0</xdr:rowOff>
    </xdr:from>
    <xdr:to>
      <xdr:col>12</xdr:col>
      <xdr:colOff>571500</xdr:colOff>
      <xdr:row>4</xdr:row>
      <xdr:rowOff>117231</xdr:rowOff>
    </xdr:to>
    <xdr:pic>
      <xdr:nvPicPr>
        <xdr:cNvPr id="2" name="Picture 1"/>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7242"/>
        <a:stretch/>
      </xdr:blipFill>
      <xdr:spPr>
        <a:xfrm>
          <a:off x="14654" y="0"/>
          <a:ext cx="6386146" cy="87923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57981</xdr:colOff>
      <xdr:row>0</xdr:row>
      <xdr:rowOff>49698</xdr:rowOff>
    </xdr:from>
    <xdr:to>
      <xdr:col>12</xdr:col>
      <xdr:colOff>571500</xdr:colOff>
      <xdr:row>4</xdr:row>
      <xdr:rowOff>316082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981" y="49698"/>
          <a:ext cx="6344476" cy="102838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14654</xdr:colOff>
      <xdr:row>0</xdr:row>
      <xdr:rowOff>51289</xdr:rowOff>
    </xdr:from>
    <xdr:to>
      <xdr:col>12</xdr:col>
      <xdr:colOff>571500</xdr:colOff>
      <xdr:row>4</xdr:row>
      <xdr:rowOff>351693</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654" y="51289"/>
          <a:ext cx="6389077" cy="106240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22412</xdr:colOff>
      <xdr:row>0</xdr:row>
      <xdr:rowOff>56030</xdr:rowOff>
    </xdr:from>
    <xdr:to>
      <xdr:col>10</xdr:col>
      <xdr:colOff>560295</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412" y="56030"/>
          <a:ext cx="6398559" cy="108697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145676</xdr:colOff>
      <xdr:row>0</xdr:row>
      <xdr:rowOff>0</xdr:rowOff>
    </xdr:from>
    <xdr:to>
      <xdr:col>10</xdr:col>
      <xdr:colOff>179294</xdr:colOff>
      <xdr:row>4</xdr:row>
      <xdr:rowOff>145676</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8264" y="0"/>
          <a:ext cx="5726206" cy="9076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45"/>
  <sheetViews>
    <sheetView view="pageBreakPreview" topLeftCell="A13" zoomScaleNormal="100" zoomScaleSheetLayoutView="100" workbookViewId="0">
      <selection activeCell="A27" sqref="A27:L28"/>
    </sheetView>
  </sheetViews>
  <sheetFormatPr defaultRowHeight="15" x14ac:dyDescent="0.25"/>
  <cols>
    <col min="2" max="2" width="5" customWidth="1"/>
    <col min="3" max="3" width="3.28515625" customWidth="1"/>
    <col min="4" max="4" width="9.5703125" customWidth="1"/>
    <col min="5" max="5" width="3.7109375" customWidth="1"/>
    <col min="15" max="15" width="40.140625" customWidth="1"/>
    <col min="16" max="16" width="32.140625" hidden="1" customWidth="1"/>
  </cols>
  <sheetData>
    <row r="1" spans="1:12" x14ac:dyDescent="0.25">
      <c r="A1" s="68"/>
      <c r="B1" s="68"/>
      <c r="C1" s="68"/>
      <c r="D1" s="68"/>
      <c r="E1" s="68"/>
      <c r="F1" s="68"/>
      <c r="G1" s="68"/>
      <c r="H1" s="68"/>
      <c r="I1" s="68"/>
      <c r="J1" s="68"/>
      <c r="K1" s="68"/>
      <c r="L1" s="68"/>
    </row>
    <row r="2" spans="1:12" x14ac:dyDescent="0.25">
      <c r="A2" s="68"/>
      <c r="B2" s="68"/>
      <c r="C2" s="68"/>
      <c r="D2" s="68"/>
      <c r="E2" s="68"/>
      <c r="F2" s="68"/>
      <c r="G2" s="68"/>
      <c r="H2" s="68"/>
      <c r="I2" s="68"/>
      <c r="J2" s="68"/>
      <c r="K2" s="68"/>
      <c r="L2" s="68"/>
    </row>
    <row r="3" spans="1:12" x14ac:dyDescent="0.25">
      <c r="A3" s="68"/>
      <c r="B3" s="68"/>
      <c r="C3" s="68"/>
      <c r="D3" s="68"/>
      <c r="E3" s="68"/>
      <c r="F3" s="68"/>
      <c r="G3" s="68"/>
      <c r="H3" s="68"/>
      <c r="I3" s="68"/>
      <c r="J3" s="68"/>
      <c r="K3" s="68"/>
      <c r="L3" s="68"/>
    </row>
    <row r="4" spans="1:12" x14ac:dyDescent="0.25">
      <c r="A4" s="68"/>
      <c r="B4" s="68"/>
      <c r="C4" s="68"/>
      <c r="D4" s="68"/>
      <c r="E4" s="68"/>
      <c r="F4" s="68"/>
      <c r="G4" s="68"/>
      <c r="H4" s="68"/>
      <c r="I4" s="68"/>
      <c r="J4" s="68"/>
      <c r="K4" s="68"/>
      <c r="L4" s="68"/>
    </row>
    <row r="5" spans="1:12" x14ac:dyDescent="0.25">
      <c r="A5" s="68"/>
      <c r="B5" s="68"/>
      <c r="C5" s="68"/>
      <c r="D5" s="68"/>
      <c r="E5" s="68"/>
      <c r="F5" s="68"/>
      <c r="G5" s="68"/>
      <c r="H5" s="68"/>
      <c r="I5" s="68"/>
      <c r="J5" s="68"/>
      <c r="K5" s="68"/>
      <c r="L5" s="68"/>
    </row>
    <row r="6" spans="1:12" x14ac:dyDescent="0.25">
      <c r="A6" s="68"/>
      <c r="B6" s="68"/>
      <c r="C6" s="68"/>
      <c r="D6" s="68"/>
      <c r="E6" s="68"/>
      <c r="F6" s="68"/>
      <c r="G6" s="68"/>
      <c r="H6" s="68"/>
      <c r="I6" s="68"/>
      <c r="J6" s="68"/>
      <c r="K6" s="68"/>
      <c r="L6" s="68"/>
    </row>
    <row r="7" spans="1:12" x14ac:dyDescent="0.25">
      <c r="A7" t="s">
        <v>0</v>
      </c>
      <c r="C7" t="s">
        <v>15</v>
      </c>
      <c r="I7" t="s">
        <v>25</v>
      </c>
    </row>
    <row r="8" spans="1:12" x14ac:dyDescent="0.25">
      <c r="A8" t="s">
        <v>1</v>
      </c>
      <c r="C8" t="s">
        <v>15</v>
      </c>
      <c r="I8" s="67" t="s">
        <v>26</v>
      </c>
      <c r="J8" s="67"/>
      <c r="K8" s="67"/>
      <c r="L8" s="67"/>
    </row>
    <row r="9" spans="1:12" x14ac:dyDescent="0.25">
      <c r="A9" t="s">
        <v>2</v>
      </c>
      <c r="C9" t="s">
        <v>15</v>
      </c>
      <c r="D9" s="2" t="s">
        <v>24</v>
      </c>
      <c r="I9" s="67"/>
      <c r="J9" s="67"/>
      <c r="K9" s="67"/>
      <c r="L9" s="67"/>
    </row>
    <row r="10" spans="1:12" x14ac:dyDescent="0.25">
      <c r="I10" s="67"/>
      <c r="J10" s="67"/>
      <c r="K10" s="67"/>
      <c r="L10" s="67"/>
    </row>
    <row r="11" spans="1:12" x14ac:dyDescent="0.25">
      <c r="I11" t="s">
        <v>27</v>
      </c>
    </row>
    <row r="13" spans="1:12" x14ac:dyDescent="0.25">
      <c r="I13" t="s">
        <v>28</v>
      </c>
    </row>
    <row r="15" spans="1:12" x14ac:dyDescent="0.25">
      <c r="A15" t="s">
        <v>3</v>
      </c>
    </row>
    <row r="16" spans="1:12" x14ac:dyDescent="0.25">
      <c r="A16" s="67" t="s">
        <v>4</v>
      </c>
      <c r="B16" s="67"/>
      <c r="C16" s="67"/>
      <c r="D16" s="67"/>
      <c r="E16" s="67"/>
      <c r="F16" s="67"/>
      <c r="G16" s="67"/>
      <c r="H16" s="67"/>
      <c r="I16" s="67"/>
      <c r="J16" s="67"/>
      <c r="K16" s="67"/>
      <c r="L16" s="67"/>
    </row>
    <row r="17" spans="1:16" x14ac:dyDescent="0.25">
      <c r="A17" s="67"/>
      <c r="B17" s="67"/>
      <c r="C17" s="67"/>
      <c r="D17" s="67"/>
      <c r="E17" s="67"/>
      <c r="F17" s="67"/>
      <c r="G17" s="67"/>
      <c r="H17" s="67"/>
      <c r="I17" s="67"/>
      <c r="J17" s="67"/>
      <c r="K17" s="67"/>
      <c r="L17" s="67"/>
    </row>
    <row r="18" spans="1:16" x14ac:dyDescent="0.25">
      <c r="B18" t="s">
        <v>5</v>
      </c>
      <c r="E18" t="s">
        <v>15</v>
      </c>
      <c r="F18" t="s">
        <v>16</v>
      </c>
    </row>
    <row r="19" spans="1:16" x14ac:dyDescent="0.25">
      <c r="B19" t="s">
        <v>6</v>
      </c>
      <c r="E19" t="s">
        <v>15</v>
      </c>
      <c r="F19" t="s">
        <v>17</v>
      </c>
    </row>
    <row r="20" spans="1:16" x14ac:dyDescent="0.25">
      <c r="B20" t="s">
        <v>7</v>
      </c>
      <c r="E20" t="s">
        <v>15</v>
      </c>
      <c r="F20" t="s">
        <v>18</v>
      </c>
    </row>
    <row r="21" spans="1:16" x14ac:dyDescent="0.25">
      <c r="B21" t="s">
        <v>8</v>
      </c>
      <c r="E21" t="s">
        <v>15</v>
      </c>
      <c r="F21" t="s">
        <v>19</v>
      </c>
    </row>
    <row r="22" spans="1:16" x14ac:dyDescent="0.25">
      <c r="B22" t="s">
        <v>9</v>
      </c>
      <c r="E22" t="s">
        <v>15</v>
      </c>
      <c r="F22" t="s">
        <v>20</v>
      </c>
    </row>
    <row r="23" spans="1:16" x14ac:dyDescent="0.25">
      <c r="B23" t="s">
        <v>10</v>
      </c>
      <c r="E23" t="s">
        <v>15</v>
      </c>
      <c r="F23" t="s">
        <v>21</v>
      </c>
    </row>
    <row r="24" spans="1:16" x14ac:dyDescent="0.25">
      <c r="B24" t="s">
        <v>11</v>
      </c>
      <c r="E24" t="s">
        <v>15</v>
      </c>
      <c r="F24" t="s">
        <v>22</v>
      </c>
    </row>
    <row r="25" spans="1:16" x14ac:dyDescent="0.25">
      <c r="B25" t="s">
        <v>12</v>
      </c>
      <c r="E25" t="s">
        <v>15</v>
      </c>
      <c r="F25" t="s">
        <v>23</v>
      </c>
    </row>
    <row r="27" spans="1:16" x14ac:dyDescent="0.25">
      <c r="A27" s="67" t="s">
        <v>13</v>
      </c>
      <c r="B27" s="67"/>
      <c r="C27" s="67"/>
      <c r="D27" s="67"/>
      <c r="E27" s="67"/>
      <c r="F27" s="67"/>
      <c r="G27" s="67"/>
      <c r="H27" s="67"/>
      <c r="I27" s="67"/>
      <c r="J27" s="67"/>
      <c r="K27" s="67"/>
      <c r="L27" s="67"/>
    </row>
    <row r="28" spans="1:16" x14ac:dyDescent="0.25">
      <c r="A28" s="67"/>
      <c r="B28" s="67"/>
      <c r="C28" s="67"/>
      <c r="D28" s="67"/>
      <c r="E28" s="67"/>
      <c r="F28" s="67"/>
      <c r="G28" s="67"/>
      <c r="H28" s="67"/>
      <c r="I28" s="67"/>
      <c r="J28" s="67"/>
      <c r="K28" s="67"/>
      <c r="L28" s="67"/>
    </row>
    <row r="29" spans="1:16" x14ac:dyDescent="0.25">
      <c r="A29" s="3"/>
      <c r="B29" s="3"/>
      <c r="C29" s="3"/>
      <c r="D29" s="3"/>
      <c r="E29" s="3"/>
      <c r="F29" s="3"/>
      <c r="G29" s="3"/>
      <c r="H29" s="3"/>
      <c r="I29" s="3"/>
      <c r="J29" s="3"/>
      <c r="K29" s="3"/>
      <c r="L29" s="3"/>
      <c r="P29">
        <v>100000</v>
      </c>
    </row>
    <row r="30" spans="1:16" x14ac:dyDescent="0.25">
      <c r="A30" s="67" t="s">
        <v>14</v>
      </c>
      <c r="B30" s="67"/>
      <c r="C30" s="67"/>
      <c r="D30" s="67"/>
      <c r="E30" s="67"/>
      <c r="F30" s="67"/>
      <c r="G30" s="67"/>
      <c r="H30" s="67"/>
      <c r="I30" s="67"/>
      <c r="J30" s="67"/>
      <c r="K30" s="67"/>
      <c r="L30" s="67"/>
    </row>
    <row r="31" spans="1:16" x14ac:dyDescent="0.25">
      <c r="A31" s="67"/>
      <c r="B31" s="67"/>
      <c r="C31" s="67"/>
      <c r="D31" s="67"/>
      <c r="E31" s="67"/>
      <c r="F31" s="67"/>
      <c r="G31" s="67"/>
      <c r="H31" s="67"/>
      <c r="I31" s="67"/>
      <c r="J31" s="67"/>
      <c r="K31" s="67"/>
      <c r="L31" s="67"/>
    </row>
    <row r="35" spans="9:9" x14ac:dyDescent="0.25">
      <c r="I35" t="s">
        <v>29</v>
      </c>
    </row>
    <row r="37" spans="9:9" x14ac:dyDescent="0.25">
      <c r="I37" s="1" t="s">
        <v>30</v>
      </c>
    </row>
    <row r="38" spans="9:9" x14ac:dyDescent="0.25">
      <c r="I38" s="1" t="s">
        <v>31</v>
      </c>
    </row>
    <row r="44" spans="9:9" x14ac:dyDescent="0.25">
      <c r="I44" s="4" t="s">
        <v>32</v>
      </c>
    </row>
    <row r="45" spans="9:9" x14ac:dyDescent="0.25">
      <c r="I45" t="s">
        <v>33</v>
      </c>
    </row>
  </sheetData>
  <mergeCells count="5">
    <mergeCell ref="I8:L10"/>
    <mergeCell ref="A16:L17"/>
    <mergeCell ref="A27:L28"/>
    <mergeCell ref="A30:L31"/>
    <mergeCell ref="A1:L6"/>
  </mergeCells>
  <pageMargins left="0.7" right="0.7" top="0.75" bottom="0.75" header="0.3" footer="0.3"/>
  <pageSetup paperSize="9" scale="90" orientation="portrait" horizontalDpi="4294967293"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46"/>
  <sheetViews>
    <sheetView view="pageBreakPreview" topLeftCell="A22" zoomScaleNormal="100" zoomScaleSheetLayoutView="100" workbookViewId="0">
      <selection activeCell="A28" sqref="A28:L29"/>
    </sheetView>
  </sheetViews>
  <sheetFormatPr defaultRowHeight="15" x14ac:dyDescent="0.25"/>
  <cols>
    <col min="2" max="2" width="5" customWidth="1"/>
    <col min="3" max="3" width="3.28515625" customWidth="1"/>
    <col min="4" max="4" width="9.5703125" customWidth="1"/>
    <col min="5" max="5" width="3.7109375" customWidth="1"/>
  </cols>
  <sheetData>
    <row r="1" spans="1:12" x14ac:dyDescent="0.25">
      <c r="A1" s="69"/>
      <c r="B1" s="69"/>
      <c r="C1" s="69"/>
      <c r="D1" s="69"/>
      <c r="E1" s="69"/>
      <c r="F1" s="69"/>
      <c r="G1" s="69"/>
      <c r="H1" s="69"/>
      <c r="I1" s="69"/>
      <c r="J1" s="69"/>
      <c r="K1" s="69"/>
      <c r="L1" s="69"/>
    </row>
    <row r="2" spans="1:12" x14ac:dyDescent="0.25">
      <c r="A2" s="69"/>
      <c r="B2" s="69"/>
      <c r="C2" s="69"/>
      <c r="D2" s="69"/>
      <c r="E2" s="69"/>
      <c r="F2" s="69"/>
      <c r="G2" s="69"/>
      <c r="H2" s="69"/>
      <c r="I2" s="69"/>
      <c r="J2" s="69"/>
      <c r="K2" s="69"/>
      <c r="L2" s="69"/>
    </row>
    <row r="3" spans="1:12" x14ac:dyDescent="0.25">
      <c r="A3" s="69"/>
      <c r="B3" s="69"/>
      <c r="C3" s="69"/>
      <c r="D3" s="69"/>
      <c r="E3" s="69"/>
      <c r="F3" s="69"/>
      <c r="G3" s="69"/>
      <c r="H3" s="69"/>
      <c r="I3" s="69"/>
      <c r="J3" s="69"/>
      <c r="K3" s="69"/>
      <c r="L3" s="69"/>
    </row>
    <row r="4" spans="1:12" x14ac:dyDescent="0.25">
      <c r="A4" s="69"/>
      <c r="B4" s="69"/>
      <c r="C4" s="69"/>
      <c r="D4" s="69"/>
      <c r="E4" s="69"/>
      <c r="F4" s="69"/>
      <c r="G4" s="69"/>
      <c r="H4" s="69"/>
      <c r="I4" s="69"/>
      <c r="J4" s="69"/>
      <c r="K4" s="69"/>
      <c r="L4" s="69"/>
    </row>
    <row r="5" spans="1:12" x14ac:dyDescent="0.25">
      <c r="A5" s="69"/>
      <c r="B5" s="69"/>
      <c r="C5" s="69"/>
      <c r="D5" s="69"/>
      <c r="E5" s="69"/>
      <c r="F5" s="69"/>
      <c r="G5" s="69"/>
      <c r="H5" s="69"/>
      <c r="I5" s="69"/>
      <c r="J5" s="69"/>
      <c r="K5" s="69"/>
      <c r="L5" s="69"/>
    </row>
    <row r="6" spans="1:12" x14ac:dyDescent="0.25">
      <c r="A6" s="69"/>
      <c r="B6" s="69"/>
      <c r="C6" s="69"/>
      <c r="D6" s="69"/>
      <c r="E6" s="69"/>
      <c r="F6" s="69"/>
      <c r="G6" s="69"/>
      <c r="H6" s="69"/>
      <c r="I6" s="69"/>
      <c r="J6" s="69"/>
      <c r="K6" s="69"/>
      <c r="L6" s="69"/>
    </row>
    <row r="7" spans="1:12" ht="4.5" customHeight="1" x14ac:dyDescent="0.25">
      <c r="A7" s="69"/>
      <c r="B7" s="69"/>
      <c r="C7" s="69"/>
      <c r="D7" s="69"/>
      <c r="E7" s="69"/>
      <c r="F7" s="69"/>
      <c r="G7" s="69"/>
      <c r="H7" s="69"/>
      <c r="I7" s="69"/>
      <c r="J7" s="69"/>
      <c r="K7" s="69"/>
      <c r="L7" s="69"/>
    </row>
    <row r="8" spans="1:12" x14ac:dyDescent="0.25">
      <c r="A8" t="s">
        <v>0</v>
      </c>
      <c r="C8" t="s">
        <v>15</v>
      </c>
      <c r="I8" t="s">
        <v>25</v>
      </c>
    </row>
    <row r="9" spans="1:12" x14ac:dyDescent="0.25">
      <c r="A9" t="s">
        <v>1</v>
      </c>
      <c r="C9" t="s">
        <v>15</v>
      </c>
      <c r="I9" s="67" t="s">
        <v>26</v>
      </c>
      <c r="J9" s="67"/>
      <c r="K9" s="67"/>
      <c r="L9" s="67"/>
    </row>
    <row r="10" spans="1:12" x14ac:dyDescent="0.25">
      <c r="A10" t="s">
        <v>2</v>
      </c>
      <c r="C10" t="s">
        <v>15</v>
      </c>
      <c r="D10" s="70" t="s">
        <v>34</v>
      </c>
      <c r="E10" s="67"/>
      <c r="F10" s="67"/>
      <c r="G10" s="67"/>
      <c r="I10" s="67"/>
      <c r="J10" s="67"/>
      <c r="K10" s="67"/>
      <c r="L10" s="67"/>
    </row>
    <row r="11" spans="1:12" x14ac:dyDescent="0.25">
      <c r="D11" s="67"/>
      <c r="E11" s="67"/>
      <c r="F11" s="67"/>
      <c r="G11" s="67"/>
      <c r="I11" s="67"/>
      <c r="J11" s="67"/>
      <c r="K11" s="67"/>
      <c r="L11" s="67"/>
    </row>
    <row r="12" spans="1:12" x14ac:dyDescent="0.25">
      <c r="I12" t="s">
        <v>27</v>
      </c>
    </row>
    <row r="14" spans="1:12" x14ac:dyDescent="0.25">
      <c r="I14" t="s">
        <v>28</v>
      </c>
    </row>
    <row r="16" spans="1:12" x14ac:dyDescent="0.25">
      <c r="A16" t="s">
        <v>3</v>
      </c>
    </row>
    <row r="17" spans="1:12" x14ac:dyDescent="0.25">
      <c r="A17" s="67" t="s">
        <v>35</v>
      </c>
      <c r="B17" s="67"/>
      <c r="C17" s="67"/>
      <c r="D17" s="67"/>
      <c r="E17" s="67"/>
      <c r="F17" s="67"/>
      <c r="G17" s="67"/>
      <c r="H17" s="67"/>
      <c r="I17" s="67"/>
      <c r="J17" s="67"/>
      <c r="K17" s="67"/>
      <c r="L17" s="67"/>
    </row>
    <row r="18" spans="1:12" x14ac:dyDescent="0.25">
      <c r="A18" s="67"/>
      <c r="B18" s="67"/>
      <c r="C18" s="67"/>
      <c r="D18" s="67"/>
      <c r="E18" s="67"/>
      <c r="F18" s="67"/>
      <c r="G18" s="67"/>
      <c r="H18" s="67"/>
      <c r="I18" s="67"/>
      <c r="J18" s="67"/>
      <c r="K18" s="67"/>
      <c r="L18" s="67"/>
    </row>
    <row r="19" spans="1:12" x14ac:dyDescent="0.25">
      <c r="B19" t="s">
        <v>5</v>
      </c>
      <c r="E19" t="s">
        <v>15</v>
      </c>
      <c r="F19" t="s">
        <v>16</v>
      </c>
    </row>
    <row r="20" spans="1:12" x14ac:dyDescent="0.25">
      <c r="B20" t="s">
        <v>6</v>
      </c>
      <c r="E20" t="s">
        <v>15</v>
      </c>
      <c r="F20" t="s">
        <v>17</v>
      </c>
    </row>
    <row r="21" spans="1:12" x14ac:dyDescent="0.25">
      <c r="B21" t="s">
        <v>7</v>
      </c>
      <c r="E21" t="s">
        <v>15</v>
      </c>
      <c r="F21" t="s">
        <v>18</v>
      </c>
    </row>
    <row r="22" spans="1:12" x14ac:dyDescent="0.25">
      <c r="B22" t="s">
        <v>8</v>
      </c>
      <c r="E22" t="s">
        <v>15</v>
      </c>
      <c r="F22" t="s">
        <v>19</v>
      </c>
    </row>
    <row r="23" spans="1:12" x14ac:dyDescent="0.25">
      <c r="B23" t="s">
        <v>9</v>
      </c>
      <c r="E23" t="s">
        <v>15</v>
      </c>
      <c r="F23" t="s">
        <v>20</v>
      </c>
    </row>
    <row r="24" spans="1:12" x14ac:dyDescent="0.25">
      <c r="B24" t="s">
        <v>10</v>
      </c>
      <c r="E24" t="s">
        <v>15</v>
      </c>
      <c r="F24" t="s">
        <v>21</v>
      </c>
    </row>
    <row r="25" spans="1:12" x14ac:dyDescent="0.25">
      <c r="B25" t="s">
        <v>11</v>
      </c>
      <c r="E25" t="s">
        <v>15</v>
      </c>
      <c r="F25" t="s">
        <v>22</v>
      </c>
    </row>
    <row r="26" spans="1:12" x14ac:dyDescent="0.25">
      <c r="B26" t="s">
        <v>12</v>
      </c>
      <c r="E26" t="s">
        <v>15</v>
      </c>
      <c r="F26" t="s">
        <v>23</v>
      </c>
    </row>
    <row r="28" spans="1:12" x14ac:dyDescent="0.25">
      <c r="A28" s="67" t="s">
        <v>13</v>
      </c>
      <c r="B28" s="67"/>
      <c r="C28" s="67"/>
      <c r="D28" s="67"/>
      <c r="E28" s="67"/>
      <c r="F28" s="67"/>
      <c r="G28" s="67"/>
      <c r="H28" s="67"/>
      <c r="I28" s="67"/>
      <c r="J28" s="67"/>
      <c r="K28" s="67"/>
      <c r="L28" s="67"/>
    </row>
    <row r="29" spans="1:12" x14ac:dyDescent="0.25">
      <c r="A29" s="67"/>
      <c r="B29" s="67"/>
      <c r="C29" s="67"/>
      <c r="D29" s="67"/>
      <c r="E29" s="67"/>
      <c r="F29" s="67"/>
      <c r="G29" s="67"/>
      <c r="H29" s="67"/>
      <c r="I29" s="67"/>
      <c r="J29" s="67"/>
      <c r="K29" s="67"/>
      <c r="L29" s="67"/>
    </row>
    <row r="30" spans="1:12" x14ac:dyDescent="0.25">
      <c r="A30" s="3"/>
      <c r="B30" s="3"/>
      <c r="C30" s="3"/>
      <c r="D30" s="3"/>
      <c r="E30" s="3"/>
      <c r="F30" s="3"/>
      <c r="G30" s="3"/>
      <c r="H30" s="3"/>
      <c r="I30" s="3"/>
      <c r="J30" s="3"/>
      <c r="K30" s="3"/>
      <c r="L30" s="3"/>
    </row>
    <row r="31" spans="1:12" x14ac:dyDescent="0.25">
      <c r="A31" s="67" t="s">
        <v>14</v>
      </c>
      <c r="B31" s="67"/>
      <c r="C31" s="67"/>
      <c r="D31" s="67"/>
      <c r="E31" s="67"/>
      <c r="F31" s="67"/>
      <c r="G31" s="67"/>
      <c r="H31" s="67"/>
      <c r="I31" s="67"/>
      <c r="J31" s="67"/>
      <c r="K31" s="67"/>
      <c r="L31" s="67"/>
    </row>
    <row r="32" spans="1:12" x14ac:dyDescent="0.25">
      <c r="A32" s="67"/>
      <c r="B32" s="67"/>
      <c r="C32" s="67"/>
      <c r="D32" s="67"/>
      <c r="E32" s="67"/>
      <c r="F32" s="67"/>
      <c r="G32" s="67"/>
      <c r="H32" s="67"/>
      <c r="I32" s="67"/>
      <c r="J32" s="67"/>
      <c r="K32" s="67"/>
      <c r="L32" s="67"/>
    </row>
    <row r="36" spans="8:8" x14ac:dyDescent="0.25">
      <c r="H36" t="s">
        <v>29</v>
      </c>
    </row>
    <row r="38" spans="8:8" x14ac:dyDescent="0.25">
      <c r="H38" s="1" t="s">
        <v>36</v>
      </c>
    </row>
    <row r="39" spans="8:8" x14ac:dyDescent="0.25">
      <c r="H39" s="1" t="s">
        <v>31</v>
      </c>
    </row>
    <row r="45" spans="8:8" x14ac:dyDescent="0.25">
      <c r="H45" s="4" t="s">
        <v>32</v>
      </c>
    </row>
    <row r="46" spans="8:8" x14ac:dyDescent="0.25">
      <c r="H46" t="s">
        <v>33</v>
      </c>
    </row>
  </sheetData>
  <mergeCells count="6">
    <mergeCell ref="A1:L7"/>
    <mergeCell ref="I9:L11"/>
    <mergeCell ref="A17:L18"/>
    <mergeCell ref="A28:L29"/>
    <mergeCell ref="A31:L32"/>
    <mergeCell ref="D10:G11"/>
  </mergeCells>
  <pageMargins left="0.7" right="0.7" top="0.75" bottom="0.75" header="0.3" footer="0.3"/>
  <pageSetup paperSize="9" scale="90" orientation="portrait" horizontalDpi="4294967293"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view="pageBreakPreview" topLeftCell="A40" zoomScaleNormal="100" zoomScaleSheetLayoutView="100" workbookViewId="0">
      <selection activeCell="I25" sqref="I25"/>
    </sheetView>
  </sheetViews>
  <sheetFormatPr defaultRowHeight="17.25" x14ac:dyDescent="0.3"/>
  <cols>
    <col min="1" max="1" width="9.140625" style="47"/>
    <col min="2" max="2" width="5" style="47" customWidth="1"/>
    <col min="3" max="3" width="3.28515625" style="47" customWidth="1"/>
    <col min="4" max="4" width="16.42578125" style="47" customWidth="1"/>
    <col min="5" max="5" width="3.7109375" style="47" customWidth="1"/>
    <col min="6" max="6" width="7.140625" style="47" customWidth="1"/>
    <col min="7" max="7" width="7.28515625" style="47" customWidth="1"/>
    <col min="8" max="16384" width="9.140625" style="47"/>
  </cols>
  <sheetData>
    <row r="1" spans="1:12" x14ac:dyDescent="0.3">
      <c r="A1" s="72"/>
      <c r="B1" s="72"/>
      <c r="C1" s="72"/>
      <c r="D1" s="72"/>
      <c r="E1" s="72"/>
      <c r="F1" s="72"/>
      <c r="G1" s="72"/>
      <c r="H1" s="72"/>
      <c r="I1" s="72"/>
      <c r="J1" s="72"/>
      <c r="K1" s="72"/>
      <c r="L1" s="72"/>
    </row>
    <row r="2" spans="1:12" x14ac:dyDescent="0.3">
      <c r="A2" s="72"/>
      <c r="B2" s="72"/>
      <c r="C2" s="72"/>
      <c r="D2" s="72"/>
      <c r="E2" s="72"/>
      <c r="F2" s="72"/>
      <c r="G2" s="72"/>
      <c r="H2" s="72"/>
      <c r="I2" s="72"/>
      <c r="J2" s="72"/>
      <c r="K2" s="72"/>
      <c r="L2" s="72"/>
    </row>
    <row r="3" spans="1:12" x14ac:dyDescent="0.3">
      <c r="A3" s="72"/>
      <c r="B3" s="72"/>
      <c r="C3" s="72"/>
      <c r="D3" s="72"/>
      <c r="E3" s="72"/>
      <c r="F3" s="72"/>
      <c r="G3" s="72"/>
      <c r="H3" s="72"/>
      <c r="I3" s="72"/>
      <c r="J3" s="72"/>
      <c r="K3" s="72"/>
      <c r="L3" s="72"/>
    </row>
    <row r="4" spans="1:12" x14ac:dyDescent="0.3">
      <c r="A4" s="72"/>
      <c r="B4" s="72"/>
      <c r="C4" s="72"/>
      <c r="D4" s="72"/>
      <c r="E4" s="72"/>
      <c r="F4" s="72"/>
      <c r="G4" s="72"/>
      <c r="H4" s="72"/>
      <c r="I4" s="72"/>
      <c r="J4" s="72"/>
      <c r="K4" s="72"/>
      <c r="L4" s="72"/>
    </row>
    <row r="5" spans="1:12" x14ac:dyDescent="0.3">
      <c r="A5" s="72"/>
      <c r="B5" s="72"/>
      <c r="C5" s="72"/>
      <c r="D5" s="72"/>
      <c r="E5" s="72"/>
      <c r="F5" s="72"/>
      <c r="G5" s="72"/>
      <c r="H5" s="72"/>
      <c r="I5" s="72"/>
      <c r="J5" s="72"/>
      <c r="K5" s="72"/>
      <c r="L5" s="72"/>
    </row>
    <row r="6" spans="1:12" x14ac:dyDescent="0.3">
      <c r="A6" s="72"/>
      <c r="B6" s="72"/>
      <c r="C6" s="72"/>
      <c r="D6" s="72"/>
      <c r="E6" s="72"/>
      <c r="F6" s="72"/>
      <c r="G6" s="72"/>
      <c r="H6" s="72"/>
      <c r="I6" s="72"/>
      <c r="J6" s="72"/>
      <c r="K6" s="72"/>
      <c r="L6" s="72"/>
    </row>
    <row r="7" spans="1:12" ht="4.5" customHeight="1" x14ac:dyDescent="0.3">
      <c r="A7" s="72"/>
      <c r="B7" s="72"/>
      <c r="C7" s="72"/>
      <c r="D7" s="72"/>
      <c r="E7" s="72"/>
      <c r="F7" s="72"/>
      <c r="G7" s="72"/>
      <c r="H7" s="72"/>
      <c r="I7" s="72"/>
      <c r="J7" s="72"/>
      <c r="K7" s="72"/>
      <c r="L7" s="72"/>
    </row>
    <row r="8" spans="1:12" x14ac:dyDescent="0.3">
      <c r="A8" s="47" t="s">
        <v>0</v>
      </c>
      <c r="C8" s="47" t="s">
        <v>15</v>
      </c>
      <c r="D8" s="47" t="s">
        <v>170</v>
      </c>
      <c r="I8" s="47" t="s">
        <v>25</v>
      </c>
    </row>
    <row r="9" spans="1:12" x14ac:dyDescent="0.3">
      <c r="A9" s="47" t="s">
        <v>1</v>
      </c>
      <c r="C9" s="47" t="s">
        <v>15</v>
      </c>
      <c r="D9" s="47" t="s">
        <v>65</v>
      </c>
      <c r="I9" s="71" t="s">
        <v>26</v>
      </c>
      <c r="J9" s="71"/>
      <c r="K9" s="71"/>
      <c r="L9" s="71"/>
    </row>
    <row r="10" spans="1:12" x14ac:dyDescent="0.3">
      <c r="A10" s="47" t="s">
        <v>2</v>
      </c>
      <c r="C10" s="47" t="s">
        <v>15</v>
      </c>
      <c r="D10" s="73" t="s">
        <v>162</v>
      </c>
      <c r="E10" s="71"/>
      <c r="F10" s="71"/>
      <c r="G10" s="71"/>
      <c r="I10" s="71"/>
      <c r="J10" s="71"/>
      <c r="K10" s="71"/>
      <c r="L10" s="71"/>
    </row>
    <row r="11" spans="1:12" x14ac:dyDescent="0.3">
      <c r="D11" s="71"/>
      <c r="E11" s="71"/>
      <c r="F11" s="71"/>
      <c r="G11" s="71"/>
      <c r="I11" s="71"/>
      <c r="J11" s="71"/>
      <c r="K11" s="71"/>
      <c r="L11" s="71"/>
    </row>
    <row r="12" spans="1:12" x14ac:dyDescent="0.3">
      <c r="I12" s="47" t="s">
        <v>27</v>
      </c>
    </row>
    <row r="14" spans="1:12" x14ac:dyDescent="0.3">
      <c r="I14" s="47" t="s">
        <v>28</v>
      </c>
    </row>
    <row r="16" spans="1:12" x14ac:dyDescent="0.3">
      <c r="A16" s="47" t="s">
        <v>3</v>
      </c>
    </row>
    <row r="17" spans="1:12" x14ac:dyDescent="0.3">
      <c r="A17" s="71" t="s">
        <v>163</v>
      </c>
      <c r="B17" s="71"/>
      <c r="C17" s="71"/>
      <c r="D17" s="71"/>
      <c r="E17" s="71"/>
      <c r="F17" s="71"/>
      <c r="G17" s="71"/>
      <c r="H17" s="71"/>
      <c r="I17" s="71"/>
      <c r="J17" s="71"/>
      <c r="K17" s="71"/>
      <c r="L17" s="71"/>
    </row>
    <row r="18" spans="1:12" x14ac:dyDescent="0.3">
      <c r="A18" s="71"/>
      <c r="B18" s="71"/>
      <c r="C18" s="71"/>
      <c r="D18" s="71"/>
      <c r="E18" s="71"/>
      <c r="F18" s="71"/>
      <c r="G18" s="71"/>
      <c r="H18" s="71"/>
      <c r="I18" s="71"/>
      <c r="J18" s="71"/>
      <c r="K18" s="71"/>
      <c r="L18" s="71"/>
    </row>
    <row r="19" spans="1:12" x14ac:dyDescent="0.3">
      <c r="B19" s="47" t="s">
        <v>164</v>
      </c>
      <c r="E19" s="47" t="s">
        <v>15</v>
      </c>
    </row>
    <row r="20" spans="1:12" x14ac:dyDescent="0.3">
      <c r="B20" s="47" t="s">
        <v>165</v>
      </c>
      <c r="E20" s="47" t="s">
        <v>15</v>
      </c>
    </row>
    <row r="21" spans="1:12" x14ac:dyDescent="0.3">
      <c r="B21" s="47" t="s">
        <v>203</v>
      </c>
      <c r="E21" s="47" t="s">
        <v>15</v>
      </c>
    </row>
    <row r="22" spans="1:12" x14ac:dyDescent="0.3">
      <c r="B22" s="47" t="s">
        <v>183</v>
      </c>
      <c r="E22" s="47" t="s">
        <v>15</v>
      </c>
    </row>
    <row r="23" spans="1:12" x14ac:dyDescent="0.3">
      <c r="B23" s="47" t="s">
        <v>166</v>
      </c>
      <c r="E23" s="47" t="s">
        <v>15</v>
      </c>
      <c r="F23" s="48"/>
    </row>
    <row r="24" spans="1:12" x14ac:dyDescent="0.3">
      <c r="B24" s="47" t="s">
        <v>167</v>
      </c>
      <c r="E24" s="47" t="s">
        <v>15</v>
      </c>
      <c r="F24" s="49"/>
    </row>
    <row r="26" spans="1:12" x14ac:dyDescent="0.3">
      <c r="A26" s="71" t="s">
        <v>174</v>
      </c>
      <c r="B26" s="71"/>
      <c r="C26" s="71"/>
      <c r="D26" s="71"/>
      <c r="E26" s="71"/>
      <c r="F26" s="71"/>
      <c r="G26" s="71"/>
      <c r="H26" s="71"/>
      <c r="I26" s="71"/>
      <c r="J26" s="71"/>
      <c r="K26" s="71"/>
      <c r="L26" s="71"/>
    </row>
    <row r="27" spans="1:12" x14ac:dyDescent="0.3">
      <c r="A27" s="71"/>
      <c r="B27" s="71"/>
      <c r="C27" s="71"/>
      <c r="D27" s="71"/>
      <c r="E27" s="71"/>
      <c r="F27" s="71"/>
      <c r="G27" s="71"/>
      <c r="H27" s="71"/>
      <c r="I27" s="71"/>
      <c r="J27" s="71"/>
      <c r="K27" s="71"/>
      <c r="L27" s="71"/>
    </row>
    <row r="28" spans="1:12" x14ac:dyDescent="0.3">
      <c r="A28" s="50"/>
      <c r="B28" s="50"/>
      <c r="C28" s="50"/>
      <c r="D28" s="50"/>
      <c r="E28" s="50"/>
      <c r="F28" s="50"/>
      <c r="G28" s="50"/>
      <c r="H28" s="50"/>
      <c r="I28" s="50"/>
      <c r="J28" s="50"/>
      <c r="K28" s="50"/>
      <c r="L28" s="50"/>
    </row>
    <row r="29" spans="1:12" x14ac:dyDescent="0.3">
      <c r="A29" s="71" t="s">
        <v>179</v>
      </c>
      <c r="B29" s="71"/>
      <c r="C29" s="71"/>
      <c r="D29" s="71"/>
      <c r="E29" s="71"/>
      <c r="F29" s="71"/>
      <c r="G29" s="71"/>
      <c r="H29" s="71"/>
      <c r="I29" s="71"/>
      <c r="J29" s="71"/>
      <c r="K29" s="71"/>
      <c r="L29" s="71"/>
    </row>
    <row r="30" spans="1:12" x14ac:dyDescent="0.3">
      <c r="A30" s="71"/>
      <c r="B30" s="71"/>
      <c r="C30" s="71"/>
      <c r="D30" s="71"/>
      <c r="E30" s="71"/>
      <c r="F30" s="71"/>
      <c r="G30" s="71"/>
      <c r="H30" s="71"/>
      <c r="I30" s="71"/>
      <c r="J30" s="71"/>
      <c r="K30" s="71"/>
      <c r="L30" s="71"/>
    </row>
    <row r="33" spans="1:9" x14ac:dyDescent="0.3">
      <c r="G33" s="47" t="s">
        <v>168</v>
      </c>
    </row>
    <row r="35" spans="1:9" x14ac:dyDescent="0.3">
      <c r="G35" s="51" t="s">
        <v>36</v>
      </c>
    </row>
    <row r="36" spans="1:9" x14ac:dyDescent="0.3">
      <c r="G36" s="51" t="s">
        <v>31</v>
      </c>
    </row>
    <row r="40" spans="1:9" x14ac:dyDescent="0.3">
      <c r="G40" s="52" t="s">
        <v>32</v>
      </c>
    </row>
    <row r="41" spans="1:9" x14ac:dyDescent="0.3">
      <c r="G41" s="47" t="s">
        <v>33</v>
      </c>
    </row>
    <row r="45" spans="1:9" x14ac:dyDescent="0.3">
      <c r="A45" s="52" t="s">
        <v>175</v>
      </c>
    </row>
    <row r="46" spans="1:9" x14ac:dyDescent="0.3">
      <c r="A46" s="53" t="s">
        <v>176</v>
      </c>
      <c r="I46" s="47" t="s">
        <v>177</v>
      </c>
    </row>
    <row r="47" spans="1:9" x14ac:dyDescent="0.3">
      <c r="A47" s="53" t="s">
        <v>205</v>
      </c>
      <c r="I47" s="47" t="s">
        <v>206</v>
      </c>
    </row>
    <row r="48" spans="1:9" x14ac:dyDescent="0.3">
      <c r="A48" s="53" t="s">
        <v>204</v>
      </c>
    </row>
  </sheetData>
  <mergeCells count="6">
    <mergeCell ref="A29:L30"/>
    <mergeCell ref="A1:L7"/>
    <mergeCell ref="I9:L11"/>
    <mergeCell ref="D10:G11"/>
    <mergeCell ref="A17:L18"/>
    <mergeCell ref="A26:L27"/>
  </mergeCells>
  <pageMargins left="0.7" right="0.7" top="0.75" bottom="0.75" header="0.3" footer="0.3"/>
  <pageSetup paperSize="9" scale="90"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
  <sheetViews>
    <sheetView view="pageBreakPreview" topLeftCell="A2" zoomScaleNormal="100" zoomScaleSheetLayoutView="100" workbookViewId="0">
      <selection activeCell="G23" sqref="G23"/>
    </sheetView>
  </sheetViews>
  <sheetFormatPr defaultRowHeight="17.25" x14ac:dyDescent="0.3"/>
  <cols>
    <col min="1" max="1" width="9.140625" style="47"/>
    <col min="2" max="2" width="5" style="47" customWidth="1"/>
    <col min="3" max="3" width="3.28515625" style="47" customWidth="1"/>
    <col min="4" max="4" width="14.85546875" style="47" customWidth="1"/>
    <col min="5" max="5" width="3.7109375" style="47" customWidth="1"/>
    <col min="6" max="6" width="7.42578125" style="47" customWidth="1"/>
    <col min="7" max="7" width="9.140625" style="47"/>
    <col min="8" max="8" width="8" style="47" customWidth="1"/>
    <col min="9" max="16384" width="9.140625" style="47"/>
  </cols>
  <sheetData>
    <row r="1" spans="1:12" x14ac:dyDescent="0.3">
      <c r="A1" s="72"/>
      <c r="B1" s="72"/>
      <c r="C1" s="72"/>
      <c r="D1" s="72"/>
      <c r="E1" s="72"/>
      <c r="F1" s="72"/>
      <c r="G1" s="72"/>
      <c r="H1" s="72"/>
      <c r="I1" s="72"/>
      <c r="J1" s="72"/>
      <c r="K1" s="72"/>
      <c r="L1" s="72"/>
    </row>
    <row r="2" spans="1:12" x14ac:dyDescent="0.3">
      <c r="A2" s="72"/>
      <c r="B2" s="72"/>
      <c r="C2" s="72"/>
      <c r="D2" s="72"/>
      <c r="E2" s="72"/>
      <c r="F2" s="72"/>
      <c r="G2" s="72"/>
      <c r="H2" s="72"/>
      <c r="I2" s="72"/>
      <c r="J2" s="72"/>
      <c r="K2" s="72"/>
      <c r="L2" s="72"/>
    </row>
    <row r="3" spans="1:12" x14ac:dyDescent="0.3">
      <c r="A3" s="72"/>
      <c r="B3" s="72"/>
      <c r="C3" s="72"/>
      <c r="D3" s="72"/>
      <c r="E3" s="72"/>
      <c r="F3" s="72"/>
      <c r="G3" s="72"/>
      <c r="H3" s="72"/>
      <c r="I3" s="72"/>
      <c r="J3" s="72"/>
      <c r="K3" s="72"/>
      <c r="L3" s="72"/>
    </row>
    <row r="4" spans="1:12" x14ac:dyDescent="0.3">
      <c r="A4" s="72"/>
      <c r="B4" s="72"/>
      <c r="C4" s="72"/>
      <c r="D4" s="72"/>
      <c r="E4" s="72"/>
      <c r="F4" s="72"/>
      <c r="G4" s="72"/>
      <c r="H4" s="72"/>
      <c r="I4" s="72"/>
      <c r="J4" s="72"/>
      <c r="K4" s="72"/>
      <c r="L4" s="72"/>
    </row>
    <row r="5" spans="1:12" x14ac:dyDescent="0.3">
      <c r="A5" s="72"/>
      <c r="B5" s="72"/>
      <c r="C5" s="72"/>
      <c r="D5" s="72"/>
      <c r="E5" s="72"/>
      <c r="F5" s="72"/>
      <c r="G5" s="72"/>
      <c r="H5" s="72"/>
      <c r="I5" s="72"/>
      <c r="J5" s="72"/>
      <c r="K5" s="72"/>
      <c r="L5" s="72"/>
    </row>
    <row r="6" spans="1:12" x14ac:dyDescent="0.3">
      <c r="A6" s="72"/>
      <c r="B6" s="72"/>
      <c r="C6" s="72"/>
      <c r="D6" s="72"/>
      <c r="E6" s="72"/>
      <c r="F6" s="72"/>
      <c r="G6" s="72"/>
      <c r="H6" s="72"/>
      <c r="I6" s="72"/>
      <c r="J6" s="72"/>
      <c r="K6" s="72"/>
      <c r="L6" s="72"/>
    </row>
    <row r="7" spans="1:12" ht="4.5" customHeight="1" x14ac:dyDescent="0.3">
      <c r="A7" s="72"/>
      <c r="B7" s="72"/>
      <c r="C7" s="72"/>
      <c r="D7" s="72"/>
      <c r="E7" s="72"/>
      <c r="F7" s="72"/>
      <c r="G7" s="72"/>
      <c r="H7" s="72"/>
      <c r="I7" s="72"/>
      <c r="J7" s="72"/>
      <c r="K7" s="72"/>
      <c r="L7" s="72"/>
    </row>
    <row r="8" spans="1:12" x14ac:dyDescent="0.3">
      <c r="A8" s="47" t="s">
        <v>0</v>
      </c>
      <c r="C8" s="47" t="s">
        <v>15</v>
      </c>
      <c r="D8" s="47" t="s">
        <v>169</v>
      </c>
      <c r="I8" s="47" t="s">
        <v>25</v>
      </c>
    </row>
    <row r="9" spans="1:12" x14ac:dyDescent="0.3">
      <c r="A9" s="47" t="s">
        <v>1</v>
      </c>
      <c r="C9" s="47" t="s">
        <v>15</v>
      </c>
      <c r="D9" s="47" t="s">
        <v>65</v>
      </c>
      <c r="I9" s="71" t="s">
        <v>26</v>
      </c>
      <c r="J9" s="71"/>
      <c r="K9" s="71"/>
      <c r="L9" s="71"/>
    </row>
    <row r="10" spans="1:12" x14ac:dyDescent="0.3">
      <c r="A10" s="47" t="s">
        <v>2</v>
      </c>
      <c r="C10" s="47" t="s">
        <v>15</v>
      </c>
      <c r="D10" s="73" t="s">
        <v>162</v>
      </c>
      <c r="E10" s="71"/>
      <c r="F10" s="71"/>
      <c r="G10" s="71"/>
      <c r="I10" s="71"/>
      <c r="J10" s="71"/>
      <c r="K10" s="71"/>
      <c r="L10" s="71"/>
    </row>
    <row r="11" spans="1:12" x14ac:dyDescent="0.3">
      <c r="D11" s="71"/>
      <c r="E11" s="71"/>
      <c r="F11" s="71"/>
      <c r="G11" s="71"/>
      <c r="I11" s="71"/>
      <c r="J11" s="71"/>
      <c r="K11" s="71"/>
      <c r="L11" s="71"/>
    </row>
    <row r="12" spans="1:12" x14ac:dyDescent="0.3">
      <c r="I12" s="47" t="s">
        <v>27</v>
      </c>
    </row>
    <row r="14" spans="1:12" x14ac:dyDescent="0.3">
      <c r="I14" s="47" t="s">
        <v>28</v>
      </c>
    </row>
    <row r="16" spans="1:12" x14ac:dyDescent="0.3">
      <c r="A16" s="47" t="s">
        <v>3</v>
      </c>
    </row>
    <row r="17" spans="1:12" x14ac:dyDescent="0.3">
      <c r="A17" s="71" t="s">
        <v>163</v>
      </c>
      <c r="B17" s="71"/>
      <c r="C17" s="71"/>
      <c r="D17" s="71"/>
      <c r="E17" s="71"/>
      <c r="F17" s="71"/>
      <c r="G17" s="71"/>
      <c r="H17" s="71"/>
      <c r="I17" s="71"/>
      <c r="J17" s="71"/>
      <c r="K17" s="71"/>
      <c r="L17" s="71"/>
    </row>
    <row r="18" spans="1:12" x14ac:dyDescent="0.3">
      <c r="A18" s="71"/>
      <c r="B18" s="71"/>
      <c r="C18" s="71"/>
      <c r="D18" s="71"/>
      <c r="E18" s="71"/>
      <c r="F18" s="71"/>
      <c r="G18" s="71"/>
      <c r="H18" s="71"/>
      <c r="I18" s="71"/>
      <c r="J18" s="71"/>
      <c r="K18" s="71"/>
      <c r="L18" s="71"/>
    </row>
    <row r="19" spans="1:12" x14ac:dyDescent="0.3">
      <c r="B19" s="47" t="s">
        <v>164</v>
      </c>
      <c r="E19" s="47" t="s">
        <v>15</v>
      </c>
    </row>
    <row r="20" spans="1:12" x14ac:dyDescent="0.3">
      <c r="B20" s="47" t="s">
        <v>165</v>
      </c>
      <c r="E20" s="47" t="s">
        <v>15</v>
      </c>
    </row>
    <row r="21" spans="1:12" x14ac:dyDescent="0.3">
      <c r="B21" s="47" t="s">
        <v>203</v>
      </c>
      <c r="E21" s="47" t="s">
        <v>15</v>
      </c>
    </row>
    <row r="22" spans="1:12" x14ac:dyDescent="0.3">
      <c r="B22" s="47" t="s">
        <v>183</v>
      </c>
      <c r="E22" s="47" t="s">
        <v>15</v>
      </c>
    </row>
    <row r="23" spans="1:12" x14ac:dyDescent="0.3">
      <c r="B23" s="47" t="s">
        <v>166</v>
      </c>
      <c r="E23" s="47" t="s">
        <v>15</v>
      </c>
      <c r="F23" s="48"/>
    </row>
    <row r="24" spans="1:12" x14ac:dyDescent="0.3">
      <c r="B24" s="47" t="s">
        <v>167</v>
      </c>
      <c r="E24" s="47" t="s">
        <v>15</v>
      </c>
      <c r="F24" s="49"/>
    </row>
    <row r="26" spans="1:12" x14ac:dyDescent="0.3">
      <c r="A26" s="71" t="s">
        <v>174</v>
      </c>
      <c r="B26" s="71"/>
      <c r="C26" s="71"/>
      <c r="D26" s="71"/>
      <c r="E26" s="71"/>
      <c r="F26" s="71"/>
      <c r="G26" s="71"/>
      <c r="H26" s="71"/>
      <c r="I26" s="71"/>
      <c r="J26" s="71"/>
      <c r="K26" s="71"/>
      <c r="L26" s="71"/>
    </row>
    <row r="27" spans="1:12" x14ac:dyDescent="0.3">
      <c r="A27" s="71"/>
      <c r="B27" s="71"/>
      <c r="C27" s="71"/>
      <c r="D27" s="71"/>
      <c r="E27" s="71"/>
      <c r="F27" s="71"/>
      <c r="G27" s="71"/>
      <c r="H27" s="71"/>
      <c r="I27" s="71"/>
      <c r="J27" s="71"/>
      <c r="K27" s="71"/>
      <c r="L27" s="71"/>
    </row>
    <row r="28" spans="1:12" x14ac:dyDescent="0.3">
      <c r="A28" s="50"/>
      <c r="B28" s="50"/>
      <c r="C28" s="50"/>
      <c r="D28" s="50"/>
      <c r="E28" s="50"/>
      <c r="F28" s="50"/>
      <c r="G28" s="50"/>
      <c r="H28" s="50"/>
      <c r="I28" s="50"/>
      <c r="J28" s="50"/>
      <c r="K28" s="50"/>
      <c r="L28" s="50"/>
    </row>
    <row r="29" spans="1:12" x14ac:dyDescent="0.3">
      <c r="A29" s="71" t="s">
        <v>180</v>
      </c>
      <c r="B29" s="71"/>
      <c r="C29" s="71"/>
      <c r="D29" s="71"/>
      <c r="E29" s="71"/>
      <c r="F29" s="71"/>
      <c r="G29" s="71"/>
      <c r="H29" s="71"/>
      <c r="I29" s="71"/>
      <c r="J29" s="71"/>
      <c r="K29" s="71"/>
      <c r="L29" s="71"/>
    </row>
    <row r="30" spans="1:12" x14ac:dyDescent="0.3">
      <c r="A30" s="71"/>
      <c r="B30" s="71"/>
      <c r="C30" s="71"/>
      <c r="D30" s="71"/>
      <c r="E30" s="71"/>
      <c r="F30" s="71"/>
      <c r="G30" s="71"/>
      <c r="H30" s="71"/>
      <c r="I30" s="71"/>
      <c r="J30" s="71"/>
      <c r="K30" s="71"/>
      <c r="L30" s="71"/>
    </row>
    <row r="34" spans="1:7" x14ac:dyDescent="0.3">
      <c r="G34" s="47" t="s">
        <v>168</v>
      </c>
    </row>
    <row r="36" spans="1:7" x14ac:dyDescent="0.3">
      <c r="G36" s="51" t="s">
        <v>36</v>
      </c>
    </row>
    <row r="37" spans="1:7" x14ac:dyDescent="0.3">
      <c r="G37" s="51" t="s">
        <v>31</v>
      </c>
    </row>
    <row r="41" spans="1:7" hidden="1" x14ac:dyDescent="0.3"/>
    <row r="42" spans="1:7" hidden="1" x14ac:dyDescent="0.3"/>
    <row r="43" spans="1:7" x14ac:dyDescent="0.3">
      <c r="G43" s="52" t="s">
        <v>32</v>
      </c>
    </row>
    <row r="44" spans="1:7" x14ac:dyDescent="0.3">
      <c r="G44" s="47" t="s">
        <v>33</v>
      </c>
    </row>
    <row r="48" spans="1:7" x14ac:dyDescent="0.3">
      <c r="A48" s="52" t="s">
        <v>175</v>
      </c>
    </row>
    <row r="49" spans="1:9" x14ac:dyDescent="0.3">
      <c r="A49" s="53" t="s">
        <v>176</v>
      </c>
      <c r="I49" s="47" t="s">
        <v>177</v>
      </c>
    </row>
    <row r="50" spans="1:9" x14ac:dyDescent="0.3">
      <c r="A50" s="53" t="s">
        <v>178</v>
      </c>
    </row>
  </sheetData>
  <mergeCells count="6">
    <mergeCell ref="A29:L30"/>
    <mergeCell ref="A1:L7"/>
    <mergeCell ref="I9:L11"/>
    <mergeCell ref="D10:G11"/>
    <mergeCell ref="A17:L18"/>
    <mergeCell ref="A26:L27"/>
  </mergeCells>
  <pageMargins left="0.7" right="0.7" top="0.75" bottom="0.75" header="0.3" footer="0.3"/>
  <pageSetup paperSize="9" scale="90"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view="pageBreakPreview" topLeftCell="A17" zoomScaleNormal="100" zoomScaleSheetLayoutView="100" workbookViewId="0">
      <selection activeCell="C29" sqref="C29:L30"/>
    </sheetView>
  </sheetViews>
  <sheetFormatPr defaultRowHeight="17.25" x14ac:dyDescent="0.3"/>
  <cols>
    <col min="1" max="1" width="9.140625" style="47"/>
    <col min="2" max="2" width="5" style="47" customWidth="1"/>
    <col min="3" max="3" width="3.28515625" style="47" customWidth="1"/>
    <col min="4" max="4" width="9.5703125" style="47" customWidth="1"/>
    <col min="5" max="5" width="3.7109375" style="47" customWidth="1"/>
    <col min="6" max="6" width="9.85546875" style="47" bestFit="1" customWidth="1"/>
    <col min="7" max="16384" width="9.140625" style="47"/>
  </cols>
  <sheetData>
    <row r="1" spans="1:12" x14ac:dyDescent="0.3">
      <c r="A1" s="72"/>
      <c r="B1" s="72"/>
      <c r="C1" s="72"/>
      <c r="D1" s="72"/>
      <c r="E1" s="72"/>
      <c r="F1" s="72"/>
      <c r="G1" s="72"/>
      <c r="H1" s="72"/>
      <c r="I1" s="72"/>
      <c r="J1" s="72"/>
      <c r="K1" s="72"/>
      <c r="L1" s="72"/>
    </row>
    <row r="2" spans="1:12" x14ac:dyDescent="0.3">
      <c r="A2" s="72"/>
      <c r="B2" s="72"/>
      <c r="C2" s="72"/>
      <c r="D2" s="72"/>
      <c r="E2" s="72"/>
      <c r="F2" s="72"/>
      <c r="G2" s="72"/>
      <c r="H2" s="72"/>
      <c r="I2" s="72"/>
      <c r="J2" s="72"/>
      <c r="K2" s="72"/>
      <c r="L2" s="72"/>
    </row>
    <row r="3" spans="1:12" x14ac:dyDescent="0.3">
      <c r="A3" s="72"/>
      <c r="B3" s="72"/>
      <c r="C3" s="72"/>
      <c r="D3" s="72"/>
      <c r="E3" s="72"/>
      <c r="F3" s="72"/>
      <c r="G3" s="72"/>
      <c r="H3" s="72"/>
      <c r="I3" s="72"/>
      <c r="J3" s="72"/>
      <c r="K3" s="72"/>
      <c r="L3" s="72"/>
    </row>
    <row r="4" spans="1:12" x14ac:dyDescent="0.3">
      <c r="A4" s="72"/>
      <c r="B4" s="72"/>
      <c r="C4" s="72"/>
      <c r="D4" s="72"/>
      <c r="E4" s="72"/>
      <c r="F4" s="72"/>
      <c r="G4" s="72"/>
      <c r="H4" s="72"/>
      <c r="I4" s="72"/>
      <c r="J4" s="72"/>
      <c r="K4" s="72"/>
      <c r="L4" s="72"/>
    </row>
    <row r="5" spans="1:12" x14ac:dyDescent="0.3">
      <c r="A5" s="72"/>
      <c r="B5" s="72"/>
      <c r="C5" s="72"/>
      <c r="D5" s="72"/>
      <c r="E5" s="72"/>
      <c r="F5" s="72"/>
      <c r="G5" s="72"/>
      <c r="H5" s="72"/>
      <c r="I5" s="72"/>
      <c r="J5" s="72"/>
      <c r="K5" s="72"/>
      <c r="L5" s="72"/>
    </row>
    <row r="6" spans="1:12" x14ac:dyDescent="0.3">
      <c r="A6" s="72"/>
      <c r="B6" s="72"/>
      <c r="C6" s="72"/>
      <c r="D6" s="72"/>
      <c r="E6" s="72"/>
      <c r="F6" s="72"/>
      <c r="G6" s="72"/>
      <c r="H6" s="72"/>
      <c r="I6" s="72"/>
      <c r="J6" s="72"/>
      <c r="K6" s="72"/>
      <c r="L6" s="72"/>
    </row>
    <row r="7" spans="1:12" ht="4.5" customHeight="1" x14ac:dyDescent="0.3">
      <c r="A7" s="72"/>
      <c r="B7" s="72"/>
      <c r="C7" s="72"/>
      <c r="D7" s="72"/>
      <c r="E7" s="72"/>
      <c r="F7" s="72"/>
      <c r="G7" s="72"/>
      <c r="H7" s="72"/>
      <c r="I7" s="72"/>
      <c r="J7" s="72"/>
      <c r="K7" s="72"/>
      <c r="L7" s="72"/>
    </row>
    <row r="8" spans="1:12" x14ac:dyDescent="0.3">
      <c r="A8" s="47" t="s">
        <v>0</v>
      </c>
      <c r="C8" s="47" t="s">
        <v>15</v>
      </c>
      <c r="D8" s="57" t="s">
        <v>171</v>
      </c>
    </row>
    <row r="9" spans="1:12" x14ac:dyDescent="0.3">
      <c r="A9" s="47" t="s">
        <v>1</v>
      </c>
      <c r="C9" s="47" t="s">
        <v>15</v>
      </c>
      <c r="D9" s="47" t="s">
        <v>65</v>
      </c>
      <c r="I9" s="54"/>
      <c r="J9" s="54"/>
      <c r="K9" s="54"/>
      <c r="L9" s="54"/>
    </row>
    <row r="10" spans="1:12" x14ac:dyDescent="0.3">
      <c r="A10" s="47" t="s">
        <v>2</v>
      </c>
      <c r="C10" s="47" t="s">
        <v>15</v>
      </c>
      <c r="D10" s="73" t="s">
        <v>181</v>
      </c>
      <c r="E10" s="71"/>
      <c r="F10" s="71"/>
      <c r="G10" s="71"/>
      <c r="I10" s="54"/>
      <c r="J10" s="54"/>
      <c r="K10" s="54"/>
      <c r="L10" s="54"/>
    </row>
    <row r="11" spans="1:12" x14ac:dyDescent="0.3">
      <c r="D11" s="71"/>
      <c r="E11" s="71"/>
      <c r="F11" s="71"/>
      <c r="G11" s="71"/>
      <c r="I11" s="54"/>
      <c r="J11" s="54"/>
      <c r="K11" s="54"/>
      <c r="L11" s="54"/>
    </row>
    <row r="13" spans="1:12" x14ac:dyDescent="0.3">
      <c r="C13" s="47" t="s">
        <v>25</v>
      </c>
    </row>
    <row r="14" spans="1:12" ht="17.25" customHeight="1" x14ac:dyDescent="0.3">
      <c r="C14" s="74" t="s">
        <v>182</v>
      </c>
      <c r="D14" s="74"/>
      <c r="E14" s="74"/>
      <c r="F14" s="74"/>
      <c r="G14" s="74"/>
      <c r="H14" s="74"/>
    </row>
    <row r="15" spans="1:12" ht="17.25" customHeight="1" x14ac:dyDescent="0.3">
      <c r="C15" s="74"/>
      <c r="D15" s="74"/>
      <c r="E15" s="74"/>
      <c r="F15" s="74"/>
      <c r="G15" s="74"/>
      <c r="H15" s="74"/>
    </row>
    <row r="16" spans="1:12" x14ac:dyDescent="0.3">
      <c r="C16" s="74"/>
      <c r="D16" s="74"/>
      <c r="E16" s="74"/>
      <c r="F16" s="74"/>
      <c r="G16" s="74"/>
      <c r="H16" s="74"/>
    </row>
    <row r="17" spans="1:12" x14ac:dyDescent="0.3">
      <c r="C17" s="55"/>
      <c r="D17" s="55"/>
      <c r="E17" s="55"/>
      <c r="F17" s="55"/>
      <c r="G17" s="55"/>
      <c r="H17" s="55"/>
    </row>
    <row r="18" spans="1:12" x14ac:dyDescent="0.3">
      <c r="C18" s="47" t="s">
        <v>27</v>
      </c>
    </row>
    <row r="20" spans="1:12" x14ac:dyDescent="0.3">
      <c r="C20" s="47" t="s">
        <v>28</v>
      </c>
    </row>
    <row r="22" spans="1:12" x14ac:dyDescent="0.3">
      <c r="C22" s="47" t="s">
        <v>3</v>
      </c>
    </row>
    <row r="23" spans="1:12" ht="17.25" customHeight="1" x14ac:dyDescent="0.3">
      <c r="B23" s="54"/>
      <c r="C23" s="71" t="s">
        <v>172</v>
      </c>
      <c r="D23" s="67"/>
      <c r="E23" s="67"/>
      <c r="F23" s="67"/>
      <c r="G23" s="67"/>
      <c r="H23" s="67"/>
      <c r="I23" s="67"/>
      <c r="J23" s="67"/>
      <c r="K23" s="67"/>
      <c r="L23" s="67"/>
    </row>
    <row r="24" spans="1:12" x14ac:dyDescent="0.3">
      <c r="A24" s="54"/>
      <c r="B24" s="54"/>
      <c r="C24" s="67"/>
      <c r="D24" s="67"/>
      <c r="E24" s="67"/>
      <c r="F24" s="67"/>
      <c r="G24" s="67"/>
      <c r="H24" s="67"/>
      <c r="I24" s="67"/>
      <c r="J24" s="67"/>
      <c r="K24" s="67"/>
      <c r="L24" s="67"/>
    </row>
    <row r="25" spans="1:12" ht="19.5" customHeight="1" x14ac:dyDescent="0.3">
      <c r="A25" s="54"/>
      <c r="B25" s="54"/>
      <c r="C25" s="67"/>
      <c r="D25" s="67"/>
      <c r="E25" s="67"/>
      <c r="F25" s="67"/>
      <c r="G25" s="67"/>
      <c r="H25" s="67"/>
      <c r="I25" s="67"/>
      <c r="J25" s="67"/>
      <c r="K25" s="67"/>
      <c r="L25" s="67"/>
    </row>
    <row r="26" spans="1:12" x14ac:dyDescent="0.3">
      <c r="A26" s="54"/>
      <c r="B26" s="54"/>
      <c r="C26" s="67"/>
      <c r="D26" s="67"/>
      <c r="E26" s="67"/>
      <c r="F26" s="67"/>
      <c r="G26" s="67"/>
      <c r="H26" s="67"/>
      <c r="I26" s="67"/>
      <c r="J26" s="67"/>
      <c r="K26" s="67"/>
      <c r="L26" s="67"/>
    </row>
    <row r="27" spans="1:12" x14ac:dyDescent="0.3">
      <c r="A27" s="50"/>
      <c r="B27" s="50"/>
      <c r="C27" s="67"/>
      <c r="D27" s="67"/>
      <c r="E27" s="67"/>
      <c r="F27" s="67"/>
      <c r="G27" s="67"/>
      <c r="H27" s="67"/>
      <c r="I27" s="67"/>
      <c r="J27" s="67"/>
      <c r="K27" s="67"/>
      <c r="L27" s="67"/>
    </row>
    <row r="28" spans="1:12" x14ac:dyDescent="0.3">
      <c r="A28" s="50"/>
      <c r="B28" s="50"/>
      <c r="C28" s="44"/>
      <c r="D28" s="44"/>
      <c r="E28" s="44"/>
      <c r="F28" s="44"/>
      <c r="G28" s="44"/>
      <c r="H28" s="44"/>
      <c r="I28" s="44"/>
      <c r="J28" s="44"/>
      <c r="K28" s="44"/>
      <c r="L28" s="44"/>
    </row>
    <row r="29" spans="1:12" ht="17.25" customHeight="1" x14ac:dyDescent="0.3">
      <c r="B29" s="54"/>
      <c r="C29" s="71" t="s">
        <v>173</v>
      </c>
      <c r="D29" s="67"/>
      <c r="E29" s="67"/>
      <c r="F29" s="67"/>
      <c r="G29" s="67"/>
      <c r="H29" s="67"/>
      <c r="I29" s="67"/>
      <c r="J29" s="67"/>
      <c r="K29" s="67"/>
      <c r="L29" s="67"/>
    </row>
    <row r="30" spans="1:12" x14ac:dyDescent="0.3">
      <c r="A30" s="54"/>
      <c r="B30" s="54"/>
      <c r="C30" s="67"/>
      <c r="D30" s="67"/>
      <c r="E30" s="67"/>
      <c r="F30" s="67"/>
      <c r="G30" s="67"/>
      <c r="H30" s="67"/>
      <c r="I30" s="67"/>
      <c r="J30" s="67"/>
      <c r="K30" s="67"/>
      <c r="L30" s="67"/>
    </row>
    <row r="33" spans="7:7" x14ac:dyDescent="0.3">
      <c r="G33" s="47" t="s">
        <v>207</v>
      </c>
    </row>
    <row r="35" spans="7:7" x14ac:dyDescent="0.3">
      <c r="G35" s="51" t="s">
        <v>36</v>
      </c>
    </row>
    <row r="36" spans="7:7" x14ac:dyDescent="0.3">
      <c r="G36" s="51" t="s">
        <v>31</v>
      </c>
    </row>
    <row r="42" spans="7:7" x14ac:dyDescent="0.3">
      <c r="G42" s="52" t="s">
        <v>32</v>
      </c>
    </row>
    <row r="43" spans="7:7" x14ac:dyDescent="0.3">
      <c r="G43" s="47" t="s">
        <v>33</v>
      </c>
    </row>
  </sheetData>
  <mergeCells count="5">
    <mergeCell ref="C29:L30"/>
    <mergeCell ref="A1:L7"/>
    <mergeCell ref="D10:G11"/>
    <mergeCell ref="C14:H16"/>
    <mergeCell ref="C23:L27"/>
  </mergeCells>
  <pageMargins left="0.7" right="0.7" top="0.75" bottom="0.75" header="0.3" footer="0.3"/>
  <pageSetup paperSize="9" scale="9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8"/>
  <sheetViews>
    <sheetView view="pageBreakPreview" topLeftCell="A37" zoomScale="130" zoomScaleNormal="160" zoomScaleSheetLayoutView="130" workbookViewId="0">
      <selection activeCell="E42" sqref="E42"/>
    </sheetView>
  </sheetViews>
  <sheetFormatPr defaultRowHeight="15" x14ac:dyDescent="0.25"/>
  <cols>
    <col min="1" max="1" width="3.28515625" style="45" customWidth="1"/>
    <col min="2" max="2" width="3.140625" style="45" customWidth="1"/>
    <col min="3" max="3" width="4.42578125" style="45" customWidth="1"/>
    <col min="4" max="4" width="3.140625" style="45" customWidth="1"/>
    <col min="5" max="5" width="24.7109375" style="45" customWidth="1"/>
    <col min="6" max="6" width="3.28515625" style="45" customWidth="1"/>
    <col min="7" max="7" width="10" style="45" customWidth="1"/>
    <col min="8" max="8" width="4.85546875" style="45" customWidth="1"/>
    <col min="9" max="9" width="5.5703125" style="45" customWidth="1"/>
    <col min="10" max="10" width="10.42578125" style="45" customWidth="1"/>
    <col min="11" max="11" width="5.42578125" style="45" customWidth="1"/>
    <col min="12" max="16384" width="9.140625" style="45"/>
  </cols>
  <sheetData>
    <row r="1" spans="1:15" x14ac:dyDescent="0.25">
      <c r="A1" s="79"/>
      <c r="B1" s="79"/>
      <c r="C1" s="79"/>
      <c r="D1" s="79"/>
      <c r="E1" s="79"/>
      <c r="F1" s="79"/>
      <c r="G1" s="79"/>
      <c r="H1" s="79"/>
      <c r="I1" s="79"/>
      <c r="J1" s="79"/>
      <c r="K1" s="79"/>
      <c r="L1" s="79"/>
      <c r="M1" s="79"/>
    </row>
    <row r="2" spans="1:15" x14ac:dyDescent="0.25">
      <c r="A2" s="79"/>
      <c r="B2" s="79"/>
      <c r="C2" s="79"/>
      <c r="D2" s="79"/>
      <c r="E2" s="79"/>
      <c r="F2" s="79"/>
      <c r="G2" s="79"/>
      <c r="H2" s="79"/>
      <c r="I2" s="79"/>
      <c r="J2" s="79"/>
      <c r="K2" s="79"/>
      <c r="L2" s="79"/>
      <c r="M2" s="79"/>
    </row>
    <row r="3" spans="1:15" x14ac:dyDescent="0.25">
      <c r="A3" s="79"/>
      <c r="B3" s="79"/>
      <c r="C3" s="79"/>
      <c r="D3" s="79"/>
      <c r="E3" s="79"/>
      <c r="F3" s="79"/>
      <c r="G3" s="79"/>
      <c r="H3" s="79"/>
      <c r="I3" s="79"/>
      <c r="J3" s="79"/>
      <c r="K3" s="79"/>
      <c r="L3" s="79"/>
      <c r="M3" s="79"/>
    </row>
    <row r="4" spans="1:15" x14ac:dyDescent="0.25">
      <c r="A4" s="79"/>
      <c r="B4" s="79"/>
      <c r="C4" s="79"/>
      <c r="D4" s="79"/>
      <c r="E4" s="79"/>
      <c r="F4" s="79"/>
      <c r="G4" s="79"/>
      <c r="H4" s="79"/>
      <c r="I4" s="79"/>
      <c r="J4" s="79"/>
      <c r="K4" s="79"/>
      <c r="L4" s="79"/>
      <c r="M4" s="79"/>
    </row>
    <row r="5" spans="1:15" ht="13.5" customHeight="1" x14ac:dyDescent="0.25">
      <c r="A5" s="79"/>
      <c r="B5" s="79"/>
      <c r="C5" s="79"/>
      <c r="D5" s="79"/>
      <c r="E5" s="79"/>
      <c r="F5" s="79"/>
      <c r="G5" s="79"/>
      <c r="H5" s="79"/>
      <c r="I5" s="79"/>
      <c r="J5" s="79"/>
      <c r="K5" s="79"/>
      <c r="L5" s="79"/>
      <c r="M5" s="79"/>
    </row>
    <row r="6" spans="1:15" ht="9.75" customHeight="1" x14ac:dyDescent="0.25"/>
    <row r="7" spans="1:15" x14ac:dyDescent="0.25">
      <c r="A7" s="77" t="s">
        <v>37</v>
      </c>
      <c r="B7" s="77"/>
      <c r="C7" s="77"/>
      <c r="D7" s="77"/>
      <c r="E7" s="77"/>
      <c r="F7" s="77"/>
      <c r="G7" s="77"/>
      <c r="H7" s="77"/>
      <c r="I7" s="77"/>
      <c r="J7" s="77"/>
      <c r="K7" s="77"/>
      <c r="L7" s="77"/>
      <c r="M7" s="77"/>
    </row>
    <row r="8" spans="1:15" x14ac:dyDescent="0.25">
      <c r="A8" s="76" t="s">
        <v>200</v>
      </c>
      <c r="B8" s="76"/>
      <c r="C8" s="76"/>
      <c r="D8" s="76"/>
      <c r="E8" s="76"/>
      <c r="F8" s="76"/>
      <c r="G8" s="76"/>
      <c r="H8" s="76"/>
      <c r="I8" s="76"/>
      <c r="J8" s="76"/>
      <c r="K8" s="76"/>
      <c r="L8" s="76"/>
      <c r="M8" s="76"/>
    </row>
    <row r="10" spans="1:15" x14ac:dyDescent="0.25">
      <c r="A10" s="67" t="s">
        <v>199</v>
      </c>
      <c r="B10" s="67"/>
      <c r="C10" s="67"/>
      <c r="D10" s="67"/>
      <c r="E10" s="67"/>
      <c r="F10" s="67"/>
      <c r="G10" s="67"/>
      <c r="H10" s="67"/>
      <c r="I10" s="67"/>
      <c r="J10" s="67"/>
      <c r="K10" s="67"/>
      <c r="L10" s="67"/>
      <c r="M10" s="67"/>
    </row>
    <row r="11" spans="1:15" x14ac:dyDescent="0.25">
      <c r="A11" s="67"/>
      <c r="B11" s="67"/>
      <c r="C11" s="67"/>
      <c r="D11" s="67"/>
      <c r="E11" s="67"/>
      <c r="F11" s="67"/>
      <c r="G11" s="67"/>
      <c r="H11" s="67"/>
      <c r="I11" s="67"/>
      <c r="J11" s="67"/>
      <c r="K11" s="67"/>
      <c r="L11" s="67"/>
      <c r="M11" s="67"/>
    </row>
    <row r="12" spans="1:15" x14ac:dyDescent="0.25">
      <c r="A12" s="45" t="s">
        <v>39</v>
      </c>
      <c r="B12" s="45" t="s">
        <v>40</v>
      </c>
      <c r="F12" s="45" t="s">
        <v>15</v>
      </c>
      <c r="G12" s="45" t="s">
        <v>191</v>
      </c>
      <c r="O12" s="45" t="s">
        <v>190</v>
      </c>
    </row>
    <row r="13" spans="1:15" x14ac:dyDescent="0.25">
      <c r="B13" s="45" t="s">
        <v>41</v>
      </c>
      <c r="F13" s="45" t="s">
        <v>15</v>
      </c>
      <c r="G13" s="45" t="s">
        <v>192</v>
      </c>
    </row>
    <row r="14" spans="1:15" x14ac:dyDescent="0.25">
      <c r="B14" s="45" t="s">
        <v>42</v>
      </c>
      <c r="F14" s="45" t="s">
        <v>15</v>
      </c>
      <c r="G14" s="45" t="s">
        <v>83</v>
      </c>
    </row>
    <row r="15" spans="1:15" x14ac:dyDescent="0.25">
      <c r="B15" s="45" t="s">
        <v>43</v>
      </c>
      <c r="F15" s="45" t="s">
        <v>15</v>
      </c>
      <c r="G15" s="45" t="s">
        <v>83</v>
      </c>
    </row>
    <row r="16" spans="1:15" x14ac:dyDescent="0.25">
      <c r="B16" s="67" t="s">
        <v>193</v>
      </c>
      <c r="C16" s="67"/>
      <c r="D16" s="67"/>
      <c r="E16" s="67"/>
      <c r="F16" s="67"/>
      <c r="G16" s="67"/>
      <c r="H16" s="67"/>
      <c r="I16" s="67"/>
      <c r="J16" s="67"/>
      <c r="K16" s="67"/>
      <c r="L16" s="67"/>
      <c r="M16" s="67"/>
    </row>
    <row r="17" spans="1:13" x14ac:dyDescent="0.25">
      <c r="B17" s="67"/>
      <c r="C17" s="67"/>
      <c r="D17" s="67"/>
      <c r="E17" s="67"/>
      <c r="F17" s="67"/>
      <c r="G17" s="67"/>
      <c r="H17" s="67"/>
      <c r="I17" s="67"/>
      <c r="J17" s="67"/>
      <c r="K17" s="67"/>
      <c r="L17" s="67"/>
      <c r="M17" s="67"/>
    </row>
    <row r="18" spans="1:13" x14ac:dyDescent="0.25">
      <c r="A18" s="45" t="s">
        <v>44</v>
      </c>
      <c r="B18" s="45" t="s">
        <v>40</v>
      </c>
      <c r="F18" s="45" t="s">
        <v>15</v>
      </c>
      <c r="G18" s="45" t="s">
        <v>31</v>
      </c>
    </row>
    <row r="19" spans="1:13" x14ac:dyDescent="0.25">
      <c r="B19" s="45" t="s">
        <v>41</v>
      </c>
      <c r="F19" s="45" t="s">
        <v>15</v>
      </c>
      <c r="G19" s="67" t="s">
        <v>161</v>
      </c>
      <c r="H19" s="67"/>
      <c r="I19" s="67"/>
      <c r="J19" s="67"/>
      <c r="K19" s="67"/>
      <c r="L19" s="67"/>
      <c r="M19" s="67"/>
    </row>
    <row r="20" spans="1:13" x14ac:dyDescent="0.25">
      <c r="G20" s="67"/>
      <c r="H20" s="67"/>
      <c r="I20" s="67"/>
      <c r="J20" s="67"/>
      <c r="K20" s="67"/>
      <c r="L20" s="67"/>
      <c r="M20" s="67"/>
    </row>
    <row r="21" spans="1:13" x14ac:dyDescent="0.25">
      <c r="B21" s="45" t="s">
        <v>42</v>
      </c>
      <c r="F21" s="45" t="s">
        <v>15</v>
      </c>
      <c r="G21" s="45" t="s">
        <v>47</v>
      </c>
    </row>
    <row r="22" spans="1:13" x14ac:dyDescent="0.25">
      <c r="B22" s="45" t="s">
        <v>43</v>
      </c>
      <c r="F22" s="45" t="s">
        <v>15</v>
      </c>
      <c r="G22" s="45" t="s">
        <v>48</v>
      </c>
    </row>
    <row r="23" spans="1:13" x14ac:dyDescent="0.25">
      <c r="B23" s="67" t="s">
        <v>194</v>
      </c>
      <c r="C23" s="67"/>
      <c r="D23" s="67"/>
      <c r="E23" s="67"/>
      <c r="F23" s="67"/>
      <c r="G23" s="67"/>
      <c r="H23" s="67"/>
      <c r="I23" s="67"/>
      <c r="J23" s="67"/>
      <c r="K23" s="67"/>
      <c r="L23" s="67"/>
      <c r="M23" s="67"/>
    </row>
    <row r="24" spans="1:13" x14ac:dyDescent="0.25">
      <c r="B24" s="67"/>
      <c r="C24" s="67"/>
      <c r="D24" s="67"/>
      <c r="E24" s="67"/>
      <c r="F24" s="67"/>
      <c r="G24" s="67"/>
      <c r="H24" s="67"/>
      <c r="I24" s="67"/>
      <c r="J24" s="67"/>
      <c r="K24" s="67"/>
      <c r="L24" s="67"/>
      <c r="M24" s="67"/>
    </row>
    <row r="25" spans="1:13" x14ac:dyDescent="0.25">
      <c r="B25" s="67"/>
      <c r="C25" s="67"/>
      <c r="D25" s="67"/>
      <c r="E25" s="67"/>
      <c r="F25" s="67"/>
      <c r="G25" s="67"/>
      <c r="H25" s="67"/>
      <c r="I25" s="67"/>
      <c r="J25" s="67"/>
      <c r="K25" s="67"/>
      <c r="L25" s="67"/>
      <c r="M25" s="67"/>
    </row>
    <row r="27" spans="1:13" x14ac:dyDescent="0.25">
      <c r="A27" s="67" t="s">
        <v>195</v>
      </c>
      <c r="B27" s="67"/>
      <c r="C27" s="67"/>
      <c r="D27" s="67"/>
      <c r="E27" s="67"/>
      <c r="F27" s="67"/>
      <c r="G27" s="67"/>
      <c r="H27" s="67"/>
      <c r="I27" s="67"/>
      <c r="J27" s="67"/>
      <c r="K27" s="67"/>
      <c r="L27" s="67"/>
      <c r="M27" s="67"/>
    </row>
    <row r="28" spans="1:13" x14ac:dyDescent="0.25">
      <c r="A28" s="67"/>
      <c r="B28" s="67"/>
      <c r="C28" s="67"/>
      <c r="D28" s="67"/>
      <c r="E28" s="67"/>
      <c r="F28" s="67"/>
      <c r="G28" s="67"/>
      <c r="H28" s="67"/>
      <c r="I28" s="67"/>
      <c r="J28" s="67"/>
      <c r="K28" s="67"/>
      <c r="L28" s="67"/>
      <c r="M28" s="67"/>
    </row>
    <row r="29" spans="1:13" x14ac:dyDescent="0.25">
      <c r="A29" s="67"/>
      <c r="B29" s="67"/>
      <c r="C29" s="67"/>
      <c r="D29" s="67"/>
      <c r="E29" s="67"/>
      <c r="F29" s="67"/>
      <c r="G29" s="67"/>
      <c r="H29" s="67"/>
      <c r="I29" s="67"/>
      <c r="J29" s="67"/>
      <c r="K29" s="67"/>
      <c r="L29" s="67"/>
      <c r="M29" s="67"/>
    </row>
    <row r="30" spans="1:13" x14ac:dyDescent="0.25">
      <c r="B30" s="45" t="s">
        <v>50</v>
      </c>
      <c r="C30" s="45" t="s">
        <v>164</v>
      </c>
      <c r="F30" s="45" t="s">
        <v>15</v>
      </c>
      <c r="G30" s="45">
        <f>'IZIN PENUMPUKAN'!F19</f>
        <v>0</v>
      </c>
    </row>
    <row r="31" spans="1:13" x14ac:dyDescent="0.25">
      <c r="B31" s="45" t="s">
        <v>51</v>
      </c>
      <c r="C31" s="45" t="s">
        <v>165</v>
      </c>
      <c r="F31" s="45" t="s">
        <v>15</v>
      </c>
      <c r="G31" s="45" t="s">
        <v>196</v>
      </c>
    </row>
    <row r="32" spans="1:13" x14ac:dyDescent="0.25">
      <c r="B32" s="45" t="s">
        <v>53</v>
      </c>
      <c r="C32" s="45" t="s">
        <v>186</v>
      </c>
      <c r="F32" s="45" t="s">
        <v>15</v>
      </c>
      <c r="G32" s="45" t="s">
        <v>197</v>
      </c>
    </row>
    <row r="33" spans="1:13" x14ac:dyDescent="0.25">
      <c r="B33" s="45" t="s">
        <v>55</v>
      </c>
      <c r="C33" s="45" t="s">
        <v>183</v>
      </c>
      <c r="F33" s="45" t="s">
        <v>15</v>
      </c>
      <c r="G33" s="45" t="s">
        <v>198</v>
      </c>
    </row>
    <row r="34" spans="1:13" x14ac:dyDescent="0.25">
      <c r="B34" s="45" t="s">
        <v>57</v>
      </c>
      <c r="C34" s="45" t="s">
        <v>184</v>
      </c>
      <c r="F34" s="45" t="s">
        <v>15</v>
      </c>
      <c r="G34" s="45" t="s">
        <v>87</v>
      </c>
    </row>
    <row r="35" spans="1:13" x14ac:dyDescent="0.25">
      <c r="B35" s="45" t="s">
        <v>59</v>
      </c>
      <c r="C35" s="45" t="s">
        <v>185</v>
      </c>
      <c r="F35" s="45" t="s">
        <v>15</v>
      </c>
      <c r="G35" s="45" t="s">
        <v>87</v>
      </c>
    </row>
    <row r="36" spans="1:13" x14ac:dyDescent="0.25">
      <c r="C36" s="45" t="s">
        <v>63</v>
      </c>
      <c r="D36" s="45" t="s">
        <v>208</v>
      </c>
    </row>
    <row r="37" spans="1:13" x14ac:dyDescent="0.25">
      <c r="D37" s="45" t="s">
        <v>65</v>
      </c>
      <c r="E37" s="45" t="s">
        <v>187</v>
      </c>
      <c r="F37" s="45" t="s">
        <v>15</v>
      </c>
      <c r="G37" s="6">
        <v>209</v>
      </c>
      <c r="H37" s="45" t="s">
        <v>188</v>
      </c>
      <c r="I37" s="46" t="s">
        <v>70</v>
      </c>
      <c r="J37" s="6">
        <f>G37</f>
        <v>209</v>
      </c>
      <c r="K37" s="45" t="s">
        <v>188</v>
      </c>
    </row>
    <row r="38" spans="1:13" x14ac:dyDescent="0.25">
      <c r="D38" s="45" t="s">
        <v>65</v>
      </c>
      <c r="E38" s="45" t="s">
        <v>189</v>
      </c>
      <c r="F38" s="45" t="s">
        <v>15</v>
      </c>
      <c r="G38" s="6">
        <v>1600</v>
      </c>
      <c r="H38" s="45" t="s">
        <v>71</v>
      </c>
      <c r="I38" s="46" t="s">
        <v>70</v>
      </c>
      <c r="J38" s="6">
        <f>G38</f>
        <v>1600</v>
      </c>
      <c r="K38" s="45" t="s">
        <v>71</v>
      </c>
    </row>
    <row r="39" spans="1:13" x14ac:dyDescent="0.25">
      <c r="D39" s="45" t="s">
        <v>65</v>
      </c>
      <c r="E39" s="45" t="s">
        <v>89</v>
      </c>
      <c r="F39" s="45" t="s">
        <v>15</v>
      </c>
      <c r="G39" s="6"/>
      <c r="H39" s="45" t="s">
        <v>71</v>
      </c>
      <c r="I39" s="46" t="s">
        <v>70</v>
      </c>
      <c r="J39" s="6"/>
      <c r="K39" s="45" t="s">
        <v>71</v>
      </c>
    </row>
    <row r="40" spans="1:13" x14ac:dyDescent="0.25">
      <c r="D40" s="8"/>
      <c r="E40" s="9" t="s">
        <v>73</v>
      </c>
      <c r="F40" s="9" t="s">
        <v>15</v>
      </c>
      <c r="G40" s="10">
        <f>G38</f>
        <v>1600</v>
      </c>
      <c r="H40" s="9" t="s">
        <v>71</v>
      </c>
      <c r="I40" s="11" t="s">
        <v>70</v>
      </c>
      <c r="J40" s="10">
        <f>J38</f>
        <v>1600</v>
      </c>
      <c r="K40" s="9" t="s">
        <v>71</v>
      </c>
    </row>
    <row r="41" spans="1:13" x14ac:dyDescent="0.25">
      <c r="D41" s="45" t="s">
        <v>65</v>
      </c>
      <c r="E41" s="45" t="s">
        <v>74</v>
      </c>
      <c r="F41" s="45" t="s">
        <v>15</v>
      </c>
      <c r="G41" s="6">
        <v>0</v>
      </c>
      <c r="H41" s="45" t="s">
        <v>71</v>
      </c>
      <c r="I41" s="7" t="s">
        <v>70</v>
      </c>
      <c r="J41" s="6">
        <v>0</v>
      </c>
      <c r="K41" s="45" t="s">
        <v>71</v>
      </c>
    </row>
    <row r="42" spans="1:13" x14ac:dyDescent="0.25">
      <c r="D42" s="45" t="s">
        <v>65</v>
      </c>
      <c r="E42" s="45" t="s">
        <v>75</v>
      </c>
      <c r="F42" s="45" t="s">
        <v>15</v>
      </c>
      <c r="G42" s="6">
        <v>0</v>
      </c>
      <c r="H42" s="45" t="s">
        <v>71</v>
      </c>
      <c r="I42" s="7" t="s">
        <v>70</v>
      </c>
      <c r="J42" s="6">
        <v>0</v>
      </c>
      <c r="K42" s="45" t="s">
        <v>71</v>
      </c>
    </row>
    <row r="43" spans="1:13" x14ac:dyDescent="0.25">
      <c r="D43" s="8"/>
      <c r="E43" s="9" t="s">
        <v>72</v>
      </c>
      <c r="F43" s="9"/>
      <c r="G43" s="10">
        <f>G40</f>
        <v>1600</v>
      </c>
      <c r="H43" s="9" t="s">
        <v>71</v>
      </c>
      <c r="I43" s="11" t="s">
        <v>70</v>
      </c>
      <c r="J43" s="10">
        <f>J40</f>
        <v>1600</v>
      </c>
      <c r="K43" s="9" t="s">
        <v>71</v>
      </c>
    </row>
    <row r="45" spans="1:13" x14ac:dyDescent="0.25">
      <c r="A45" s="67" t="s">
        <v>80</v>
      </c>
      <c r="B45" s="67"/>
      <c r="C45" s="67"/>
      <c r="D45" s="67"/>
      <c r="E45" s="67"/>
      <c r="F45" s="67"/>
      <c r="G45" s="67"/>
      <c r="H45" s="67"/>
      <c r="I45" s="67"/>
      <c r="J45" s="67"/>
      <c r="K45" s="67"/>
      <c r="L45" s="67"/>
      <c r="M45" s="67"/>
    </row>
    <row r="46" spans="1:13" x14ac:dyDescent="0.25">
      <c r="A46" s="67"/>
      <c r="B46" s="67"/>
      <c r="C46" s="67"/>
      <c r="D46" s="67"/>
      <c r="E46" s="67"/>
      <c r="F46" s="67"/>
      <c r="G46" s="67"/>
      <c r="H46" s="67"/>
      <c r="I46" s="67"/>
      <c r="J46" s="67"/>
      <c r="K46" s="67"/>
      <c r="L46" s="67"/>
      <c r="M46" s="67"/>
    </row>
    <row r="48" spans="1:13" x14ac:dyDescent="0.25">
      <c r="A48" s="76" t="s">
        <v>81</v>
      </c>
      <c r="B48" s="76"/>
      <c r="C48" s="76"/>
      <c r="D48" s="76"/>
      <c r="E48" s="76"/>
      <c r="F48" s="46"/>
      <c r="G48" s="46"/>
      <c r="H48" s="46"/>
      <c r="I48" s="76" t="s">
        <v>82</v>
      </c>
      <c r="J48" s="76"/>
      <c r="K48" s="76"/>
      <c r="L48" s="76"/>
      <c r="M48" s="76"/>
    </row>
    <row r="49" spans="1:13" x14ac:dyDescent="0.25">
      <c r="A49" s="78" t="str">
        <f>G12</f>
        <v>PT. LISINDO SANTOSA</v>
      </c>
      <c r="B49" s="78"/>
      <c r="C49" s="78"/>
      <c r="D49" s="78"/>
      <c r="E49" s="78"/>
      <c r="F49" s="46"/>
      <c r="G49" s="46"/>
      <c r="H49" s="46"/>
      <c r="I49" s="76" t="s">
        <v>91</v>
      </c>
      <c r="J49" s="76"/>
      <c r="K49" s="76"/>
      <c r="L49" s="76"/>
      <c r="M49" s="76"/>
    </row>
    <row r="50" spans="1:13" x14ac:dyDescent="0.25">
      <c r="A50" s="76"/>
      <c r="B50" s="76"/>
      <c r="C50" s="76"/>
      <c r="D50" s="76"/>
      <c r="E50" s="76"/>
      <c r="F50" s="46"/>
      <c r="G50" s="46"/>
      <c r="H50" s="46"/>
      <c r="I50" s="78" t="str">
        <f>G18</f>
        <v>PT. EMKA JAYA UTAMA</v>
      </c>
      <c r="J50" s="78"/>
      <c r="K50" s="78"/>
      <c r="L50" s="78"/>
      <c r="M50" s="78"/>
    </row>
    <row r="51" spans="1:13" x14ac:dyDescent="0.25">
      <c r="A51" s="46"/>
      <c r="B51" s="46"/>
      <c r="C51" s="46"/>
      <c r="D51" s="46"/>
      <c r="E51" s="46"/>
      <c r="F51" s="46"/>
      <c r="G51" s="46"/>
      <c r="H51" s="46"/>
      <c r="I51" s="46"/>
      <c r="J51" s="46"/>
      <c r="K51" s="46"/>
      <c r="L51" s="46"/>
      <c r="M51" s="46"/>
    </row>
    <row r="52" spans="1:13" x14ac:dyDescent="0.25">
      <c r="A52" s="46"/>
      <c r="B52" s="46"/>
      <c r="C52" s="46"/>
      <c r="D52" s="46"/>
      <c r="E52" s="46"/>
      <c r="F52" s="46"/>
      <c r="G52" s="46"/>
      <c r="H52" s="46"/>
      <c r="I52" s="46"/>
      <c r="J52" s="46"/>
      <c r="K52" s="46"/>
      <c r="L52" s="46"/>
      <c r="M52" s="46"/>
    </row>
    <row r="53" spans="1:13" x14ac:dyDescent="0.25">
      <c r="A53" s="76"/>
      <c r="B53" s="76"/>
      <c r="C53" s="76"/>
      <c r="D53" s="76"/>
      <c r="E53" s="76"/>
      <c r="F53" s="46"/>
      <c r="G53" s="46"/>
      <c r="H53" s="46"/>
      <c r="I53" s="76"/>
      <c r="J53" s="76"/>
      <c r="K53" s="76"/>
      <c r="L53" s="76"/>
      <c r="M53" s="76"/>
    </row>
    <row r="54" spans="1:13" x14ac:dyDescent="0.25">
      <c r="A54" s="76"/>
      <c r="B54" s="76"/>
      <c r="C54" s="76"/>
      <c r="D54" s="76"/>
      <c r="E54" s="76"/>
      <c r="F54" s="46"/>
      <c r="G54" s="46"/>
      <c r="H54" s="46"/>
      <c r="I54" s="76"/>
      <c r="J54" s="76"/>
      <c r="K54" s="76"/>
      <c r="L54" s="76"/>
      <c r="M54" s="76"/>
    </row>
    <row r="55" spans="1:13" x14ac:dyDescent="0.25">
      <c r="A55" s="77" t="str">
        <f>UPPER(G14)</f>
        <v>……………………………</v>
      </c>
      <c r="B55" s="77"/>
      <c r="C55" s="77"/>
      <c r="D55" s="77"/>
      <c r="E55" s="77"/>
      <c r="F55" s="46"/>
      <c r="G55" s="46"/>
      <c r="H55" s="46"/>
      <c r="I55" s="77" t="str">
        <f>UPPER(G21)</f>
        <v>HILARIUS MBUSA</v>
      </c>
      <c r="J55" s="77"/>
      <c r="K55" s="77"/>
      <c r="L55" s="77"/>
      <c r="M55" s="77"/>
    </row>
    <row r="56" spans="1:13" x14ac:dyDescent="0.25">
      <c r="A56" s="76" t="str">
        <f>G15</f>
        <v>……………………………</v>
      </c>
      <c r="B56" s="76"/>
      <c r="C56" s="76"/>
      <c r="D56" s="76"/>
      <c r="E56" s="76"/>
      <c r="F56" s="46"/>
      <c r="G56" s="46"/>
      <c r="H56" s="46"/>
      <c r="I56" s="76" t="str">
        <f>G22</f>
        <v>Direktur</v>
      </c>
      <c r="J56" s="76"/>
      <c r="K56" s="76"/>
      <c r="L56" s="76"/>
      <c r="M56" s="76"/>
    </row>
    <row r="57" spans="1:13" x14ac:dyDescent="0.25">
      <c r="A57" s="76"/>
      <c r="B57" s="76"/>
      <c r="C57" s="76"/>
      <c r="D57" s="76"/>
      <c r="E57" s="76"/>
      <c r="F57" s="46"/>
      <c r="G57" s="46"/>
      <c r="H57" s="46"/>
      <c r="I57" s="76"/>
      <c r="J57" s="76"/>
      <c r="K57" s="76"/>
      <c r="L57" s="76"/>
      <c r="M57" s="76"/>
    </row>
    <row r="58" spans="1:13" x14ac:dyDescent="0.25">
      <c r="A58" s="76"/>
      <c r="B58" s="76"/>
      <c r="C58" s="76"/>
      <c r="D58" s="76"/>
      <c r="E58" s="76"/>
      <c r="F58" s="76"/>
      <c r="G58" s="76"/>
      <c r="H58" s="76"/>
      <c r="I58" s="76"/>
      <c r="J58" s="76"/>
      <c r="K58" s="76"/>
      <c r="L58" s="76"/>
      <c r="M58" s="76"/>
    </row>
    <row r="59" spans="1:13" x14ac:dyDescent="0.25">
      <c r="A59" s="76"/>
      <c r="B59" s="76"/>
      <c r="C59" s="76"/>
      <c r="D59" s="76"/>
      <c r="E59" s="76"/>
      <c r="F59" s="76"/>
      <c r="G59" s="76"/>
      <c r="H59" s="76"/>
      <c r="I59" s="76"/>
      <c r="J59" s="76"/>
      <c r="K59" s="76"/>
      <c r="L59" s="76"/>
      <c r="M59" s="76"/>
    </row>
    <row r="60" spans="1:13" x14ac:dyDescent="0.25">
      <c r="A60" s="76"/>
      <c r="B60" s="76"/>
      <c r="C60" s="76"/>
      <c r="D60" s="76"/>
      <c r="E60" s="76"/>
      <c r="F60" s="76"/>
      <c r="G60" s="76"/>
      <c r="H60" s="76"/>
      <c r="I60" s="76"/>
      <c r="J60" s="76"/>
      <c r="K60" s="76"/>
      <c r="L60" s="76"/>
      <c r="M60" s="76"/>
    </row>
    <row r="61" spans="1:13" x14ac:dyDescent="0.25">
      <c r="A61" s="76"/>
      <c r="B61" s="76"/>
      <c r="C61" s="76"/>
      <c r="D61" s="76"/>
      <c r="E61" s="76"/>
      <c r="F61" s="76"/>
      <c r="G61" s="76"/>
      <c r="H61" s="76"/>
      <c r="I61" s="76"/>
      <c r="J61" s="76"/>
      <c r="K61" s="76"/>
      <c r="L61" s="76"/>
      <c r="M61" s="76"/>
    </row>
    <row r="62" spans="1:13" x14ac:dyDescent="0.25">
      <c r="A62" s="76"/>
      <c r="B62" s="76"/>
      <c r="C62" s="76"/>
      <c r="D62" s="76"/>
      <c r="E62" s="76"/>
      <c r="F62" s="76"/>
      <c r="G62" s="76"/>
      <c r="H62" s="76"/>
      <c r="I62" s="76"/>
      <c r="J62" s="76"/>
      <c r="K62" s="76"/>
      <c r="L62" s="76"/>
      <c r="M62" s="76"/>
    </row>
    <row r="63" spans="1:13" x14ac:dyDescent="0.25">
      <c r="A63" s="76"/>
      <c r="B63" s="76"/>
      <c r="C63" s="76"/>
      <c r="D63" s="76"/>
      <c r="E63" s="76"/>
      <c r="F63" s="76"/>
      <c r="G63" s="76"/>
      <c r="H63" s="76"/>
      <c r="I63" s="76"/>
      <c r="J63" s="76"/>
      <c r="K63" s="76"/>
      <c r="L63" s="76"/>
      <c r="M63" s="76"/>
    </row>
    <row r="64" spans="1:13" x14ac:dyDescent="0.25">
      <c r="A64" s="77"/>
      <c r="B64" s="77"/>
      <c r="C64" s="77"/>
      <c r="D64" s="77"/>
      <c r="E64" s="77"/>
      <c r="F64" s="77"/>
      <c r="G64" s="77"/>
      <c r="H64" s="77"/>
      <c r="I64" s="77"/>
      <c r="J64" s="77"/>
      <c r="K64" s="77"/>
      <c r="L64" s="77"/>
      <c r="M64" s="77"/>
    </row>
    <row r="65" spans="1:13" x14ac:dyDescent="0.25">
      <c r="A65" s="76"/>
      <c r="B65" s="76"/>
      <c r="C65" s="76"/>
      <c r="D65" s="76"/>
      <c r="E65" s="76"/>
      <c r="F65" s="76"/>
      <c r="G65" s="76"/>
      <c r="H65" s="76"/>
      <c r="I65" s="76"/>
      <c r="J65" s="76"/>
      <c r="K65" s="76"/>
      <c r="L65" s="76"/>
      <c r="M65" s="76"/>
    </row>
    <row r="66" spans="1:13" x14ac:dyDescent="0.25">
      <c r="A66" s="75"/>
      <c r="B66" s="75"/>
      <c r="C66" s="75"/>
      <c r="D66" s="75"/>
      <c r="E66" s="75"/>
      <c r="F66" s="75"/>
      <c r="G66" s="75"/>
      <c r="H66" s="75"/>
      <c r="I66" s="75"/>
      <c r="J66" s="75"/>
      <c r="K66" s="75"/>
      <c r="L66" s="75"/>
      <c r="M66" s="75"/>
    </row>
    <row r="67" spans="1:13" x14ac:dyDescent="0.25">
      <c r="A67" s="75"/>
      <c r="B67" s="75"/>
      <c r="C67" s="75"/>
      <c r="D67" s="75"/>
      <c r="E67" s="75"/>
      <c r="F67" s="75"/>
      <c r="G67" s="75"/>
      <c r="H67" s="75"/>
      <c r="I67" s="75"/>
      <c r="J67" s="75"/>
      <c r="K67" s="75"/>
      <c r="L67" s="75"/>
      <c r="M67" s="75"/>
    </row>
    <row r="68" spans="1:13" x14ac:dyDescent="0.25">
      <c r="A68" s="75"/>
      <c r="B68" s="75"/>
      <c r="C68" s="75"/>
      <c r="D68" s="75"/>
      <c r="E68" s="75"/>
      <c r="F68" s="75"/>
      <c r="G68" s="75"/>
      <c r="H68" s="75"/>
      <c r="I68" s="75"/>
      <c r="J68" s="75"/>
      <c r="K68" s="75"/>
      <c r="L68" s="75"/>
      <c r="M68" s="75"/>
    </row>
  </sheetData>
  <mergeCells count="36">
    <mergeCell ref="A49:E49"/>
    <mergeCell ref="I49:M49"/>
    <mergeCell ref="A1:M5"/>
    <mergeCell ref="A7:M7"/>
    <mergeCell ref="A8:M8"/>
    <mergeCell ref="A10:M11"/>
    <mergeCell ref="B16:M17"/>
    <mergeCell ref="G19:M20"/>
    <mergeCell ref="B23:M25"/>
    <mergeCell ref="A27:M29"/>
    <mergeCell ref="A45:M46"/>
    <mergeCell ref="A48:E48"/>
    <mergeCell ref="I48:M48"/>
    <mergeCell ref="A59:M59"/>
    <mergeCell ref="A55:E55"/>
    <mergeCell ref="I55:M55"/>
    <mergeCell ref="A50:E50"/>
    <mergeCell ref="I50:M50"/>
    <mergeCell ref="A53:E53"/>
    <mergeCell ref="I53:M53"/>
    <mergeCell ref="A54:E54"/>
    <mergeCell ref="I54:M54"/>
    <mergeCell ref="A56:E56"/>
    <mergeCell ref="I56:M56"/>
    <mergeCell ref="A57:E57"/>
    <mergeCell ref="I57:M57"/>
    <mergeCell ref="A58:M58"/>
    <mergeCell ref="A66:M66"/>
    <mergeCell ref="A67:M67"/>
    <mergeCell ref="A68:M68"/>
    <mergeCell ref="A60:M60"/>
    <mergeCell ref="A61:M61"/>
    <mergeCell ref="A62:M62"/>
    <mergeCell ref="A63:M63"/>
    <mergeCell ref="A64:M64"/>
    <mergeCell ref="A65:M65"/>
  </mergeCells>
  <pageMargins left="0.7" right="0.7" top="0.75" bottom="0.75" header="0.3" footer="0.3"/>
  <pageSetup paperSize="9" scale="90" orientation="portrait" horizontalDpi="4294967293"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0"/>
  <sheetViews>
    <sheetView view="pageBreakPreview" topLeftCell="A7" zoomScale="130" zoomScaleNormal="160" zoomScaleSheetLayoutView="130" workbookViewId="0">
      <selection activeCell="J55" sqref="J55"/>
    </sheetView>
  </sheetViews>
  <sheetFormatPr defaultRowHeight="15" x14ac:dyDescent="0.25"/>
  <cols>
    <col min="1" max="1" width="3.28515625" style="45" customWidth="1"/>
    <col min="2" max="2" width="3.140625" style="45" customWidth="1"/>
    <col min="3" max="3" width="4.42578125" style="45" customWidth="1"/>
    <col min="4" max="4" width="3.140625" style="45" customWidth="1"/>
    <col min="5" max="5" width="24.7109375" style="45" customWidth="1"/>
    <col min="6" max="6" width="3.28515625" style="45" customWidth="1"/>
    <col min="7" max="7" width="10" style="45" customWidth="1"/>
    <col min="8" max="8" width="4.85546875" style="45" customWidth="1"/>
    <col min="9" max="9" width="5.5703125" style="45" customWidth="1"/>
    <col min="10" max="10" width="10.42578125" style="45" customWidth="1"/>
    <col min="11" max="11" width="5.42578125" style="45" customWidth="1"/>
    <col min="12" max="16384" width="9.140625" style="45"/>
  </cols>
  <sheetData>
    <row r="1" spans="1:15" x14ac:dyDescent="0.25">
      <c r="A1" s="79"/>
      <c r="B1" s="79"/>
      <c r="C1" s="79"/>
      <c r="D1" s="79"/>
      <c r="E1" s="79"/>
      <c r="F1" s="79"/>
      <c r="G1" s="79"/>
      <c r="H1" s="79"/>
      <c r="I1" s="79"/>
      <c r="J1" s="79"/>
      <c r="K1" s="79"/>
      <c r="L1" s="79"/>
      <c r="M1" s="79"/>
    </row>
    <row r="2" spans="1:15" x14ac:dyDescent="0.25">
      <c r="A2" s="79"/>
      <c r="B2" s="79"/>
      <c r="C2" s="79"/>
      <c r="D2" s="79"/>
      <c r="E2" s="79"/>
      <c r="F2" s="79"/>
      <c r="G2" s="79"/>
      <c r="H2" s="79"/>
      <c r="I2" s="79"/>
      <c r="J2" s="79"/>
      <c r="K2" s="79"/>
      <c r="L2" s="79"/>
      <c r="M2" s="79"/>
    </row>
    <row r="3" spans="1:15" x14ac:dyDescent="0.25">
      <c r="A3" s="79"/>
      <c r="B3" s="79"/>
      <c r="C3" s="79"/>
      <c r="D3" s="79"/>
      <c r="E3" s="79"/>
      <c r="F3" s="79"/>
      <c r="G3" s="79"/>
      <c r="H3" s="79"/>
      <c r="I3" s="79"/>
      <c r="J3" s="79"/>
      <c r="K3" s="79"/>
      <c r="L3" s="79"/>
      <c r="M3" s="79"/>
    </row>
    <row r="4" spans="1:15" x14ac:dyDescent="0.25">
      <c r="A4" s="79"/>
      <c r="B4" s="79"/>
      <c r="C4" s="79"/>
      <c r="D4" s="79"/>
      <c r="E4" s="79"/>
      <c r="F4" s="79"/>
      <c r="G4" s="79"/>
      <c r="H4" s="79"/>
      <c r="I4" s="79"/>
      <c r="J4" s="79"/>
      <c r="K4" s="79"/>
      <c r="L4" s="79"/>
      <c r="M4" s="79"/>
    </row>
    <row r="5" spans="1:15" ht="13.5" customHeight="1" x14ac:dyDescent="0.25">
      <c r="A5" s="79"/>
      <c r="B5" s="79"/>
      <c r="C5" s="79"/>
      <c r="D5" s="79"/>
      <c r="E5" s="79"/>
      <c r="F5" s="79"/>
      <c r="G5" s="79"/>
      <c r="H5" s="79"/>
      <c r="I5" s="79"/>
      <c r="J5" s="79"/>
      <c r="K5" s="79"/>
      <c r="L5" s="79"/>
      <c r="M5" s="79"/>
    </row>
    <row r="6" spans="1:15" ht="9.75" customHeight="1" x14ac:dyDescent="0.25"/>
    <row r="7" spans="1:15" x14ac:dyDescent="0.25">
      <c r="A7" s="77" t="s">
        <v>37</v>
      </c>
      <c r="B7" s="77"/>
      <c r="C7" s="77"/>
      <c r="D7" s="77"/>
      <c r="E7" s="77"/>
      <c r="F7" s="77"/>
      <c r="G7" s="77"/>
      <c r="H7" s="77"/>
      <c r="I7" s="77"/>
      <c r="J7" s="77"/>
      <c r="K7" s="77"/>
      <c r="L7" s="77"/>
      <c r="M7" s="77"/>
    </row>
    <row r="8" spans="1:15" x14ac:dyDescent="0.25">
      <c r="A8" s="76" t="s">
        <v>200</v>
      </c>
      <c r="B8" s="76"/>
      <c r="C8" s="76"/>
      <c r="D8" s="76"/>
      <c r="E8" s="76"/>
      <c r="F8" s="76"/>
      <c r="G8" s="76"/>
      <c r="H8" s="76"/>
      <c r="I8" s="76"/>
      <c r="J8" s="76"/>
      <c r="K8" s="76"/>
      <c r="L8" s="76"/>
      <c r="M8" s="76"/>
    </row>
    <row r="10" spans="1:15" x14ac:dyDescent="0.25">
      <c r="A10" s="67" t="s">
        <v>199</v>
      </c>
      <c r="B10" s="67"/>
      <c r="C10" s="67"/>
      <c r="D10" s="67"/>
      <c r="E10" s="67"/>
      <c r="F10" s="67"/>
      <c r="G10" s="67"/>
      <c r="H10" s="67"/>
      <c r="I10" s="67"/>
      <c r="J10" s="67"/>
      <c r="K10" s="67"/>
      <c r="L10" s="67"/>
      <c r="M10" s="67"/>
    </row>
    <row r="11" spans="1:15" x14ac:dyDescent="0.25">
      <c r="A11" s="67"/>
      <c r="B11" s="67"/>
      <c r="C11" s="67"/>
      <c r="D11" s="67"/>
      <c r="E11" s="67"/>
      <c r="F11" s="67"/>
      <c r="G11" s="67"/>
      <c r="H11" s="67"/>
      <c r="I11" s="67"/>
      <c r="J11" s="67"/>
      <c r="K11" s="67"/>
      <c r="L11" s="67"/>
      <c r="M11" s="67"/>
    </row>
    <row r="12" spans="1:15" x14ac:dyDescent="0.25">
      <c r="A12" s="45" t="s">
        <v>39</v>
      </c>
      <c r="B12" s="45" t="s">
        <v>40</v>
      </c>
      <c r="F12" s="45" t="s">
        <v>15</v>
      </c>
      <c r="G12" s="45" t="s">
        <v>191</v>
      </c>
      <c r="O12" s="45" t="s">
        <v>190</v>
      </c>
    </row>
    <row r="13" spans="1:15" x14ac:dyDescent="0.25">
      <c r="B13" s="45" t="s">
        <v>41</v>
      </c>
      <c r="F13" s="45" t="s">
        <v>15</v>
      </c>
      <c r="G13" s="45" t="s">
        <v>192</v>
      </c>
    </row>
    <row r="14" spans="1:15" x14ac:dyDescent="0.25">
      <c r="B14" s="45" t="s">
        <v>42</v>
      </c>
      <c r="F14" s="45" t="s">
        <v>15</v>
      </c>
      <c r="G14" s="45" t="s">
        <v>83</v>
      </c>
    </row>
    <row r="15" spans="1:15" x14ac:dyDescent="0.25">
      <c r="B15" s="45" t="s">
        <v>43</v>
      </c>
      <c r="F15" s="45" t="s">
        <v>15</v>
      </c>
      <c r="G15" s="45" t="s">
        <v>83</v>
      </c>
    </row>
    <row r="16" spans="1:15" x14ac:dyDescent="0.25">
      <c r="B16" s="67" t="s">
        <v>193</v>
      </c>
      <c r="C16" s="67"/>
      <c r="D16" s="67"/>
      <c r="E16" s="67"/>
      <c r="F16" s="67"/>
      <c r="G16" s="67"/>
      <c r="H16" s="67"/>
      <c r="I16" s="67"/>
      <c r="J16" s="67"/>
      <c r="K16" s="67"/>
      <c r="L16" s="67"/>
      <c r="M16" s="67"/>
    </row>
    <row r="17" spans="1:13" x14ac:dyDescent="0.25">
      <c r="B17" s="67"/>
      <c r="C17" s="67"/>
      <c r="D17" s="67"/>
      <c r="E17" s="67"/>
      <c r="F17" s="67"/>
      <c r="G17" s="67"/>
      <c r="H17" s="67"/>
      <c r="I17" s="67"/>
      <c r="J17" s="67"/>
      <c r="K17" s="67"/>
      <c r="L17" s="67"/>
      <c r="M17" s="67"/>
    </row>
    <row r="18" spans="1:13" x14ac:dyDescent="0.25">
      <c r="A18" s="45" t="s">
        <v>44</v>
      </c>
      <c r="B18" s="45" t="s">
        <v>40</v>
      </c>
      <c r="F18" s="45" t="s">
        <v>15</v>
      </c>
      <c r="G18" s="45" t="s">
        <v>31</v>
      </c>
    </row>
    <row r="19" spans="1:13" x14ac:dyDescent="0.25">
      <c r="B19" s="45" t="s">
        <v>41</v>
      </c>
      <c r="F19" s="45" t="s">
        <v>15</v>
      </c>
      <c r="G19" s="67" t="s">
        <v>161</v>
      </c>
      <c r="H19" s="67"/>
      <c r="I19" s="67"/>
      <c r="J19" s="67"/>
      <c r="K19" s="67"/>
      <c r="L19" s="67"/>
      <c r="M19" s="67"/>
    </row>
    <row r="20" spans="1:13" x14ac:dyDescent="0.25">
      <c r="G20" s="67"/>
      <c r="H20" s="67"/>
      <c r="I20" s="67"/>
      <c r="J20" s="67"/>
      <c r="K20" s="67"/>
      <c r="L20" s="67"/>
      <c r="M20" s="67"/>
    </row>
    <row r="21" spans="1:13" x14ac:dyDescent="0.25">
      <c r="B21" s="45" t="s">
        <v>42</v>
      </c>
      <c r="F21" s="45" t="s">
        <v>15</v>
      </c>
      <c r="G21" s="45" t="s">
        <v>47</v>
      </c>
    </row>
    <row r="22" spans="1:13" x14ac:dyDescent="0.25">
      <c r="B22" s="45" t="s">
        <v>43</v>
      </c>
      <c r="F22" s="45" t="s">
        <v>15</v>
      </c>
      <c r="G22" s="45" t="s">
        <v>48</v>
      </c>
    </row>
    <row r="23" spans="1:13" x14ac:dyDescent="0.25">
      <c r="B23" s="67" t="s">
        <v>194</v>
      </c>
      <c r="C23" s="67"/>
      <c r="D23" s="67"/>
      <c r="E23" s="67"/>
      <c r="F23" s="67"/>
      <c r="G23" s="67"/>
      <c r="H23" s="67"/>
      <c r="I23" s="67"/>
      <c r="J23" s="67"/>
      <c r="K23" s="67"/>
      <c r="L23" s="67"/>
      <c r="M23" s="67"/>
    </row>
    <row r="24" spans="1:13" x14ac:dyDescent="0.25">
      <c r="B24" s="67"/>
      <c r="C24" s="67"/>
      <c r="D24" s="67"/>
      <c r="E24" s="67"/>
      <c r="F24" s="67"/>
      <c r="G24" s="67"/>
      <c r="H24" s="67"/>
      <c r="I24" s="67"/>
      <c r="J24" s="67"/>
      <c r="K24" s="67"/>
      <c r="L24" s="67"/>
      <c r="M24" s="67"/>
    </row>
    <row r="25" spans="1:13" x14ac:dyDescent="0.25">
      <c r="B25" s="67"/>
      <c r="C25" s="67"/>
      <c r="D25" s="67"/>
      <c r="E25" s="67"/>
      <c r="F25" s="67"/>
      <c r="G25" s="67"/>
      <c r="H25" s="67"/>
      <c r="I25" s="67"/>
      <c r="J25" s="67"/>
      <c r="K25" s="67"/>
      <c r="L25" s="67"/>
      <c r="M25" s="67"/>
    </row>
    <row r="27" spans="1:13" x14ac:dyDescent="0.25">
      <c r="A27" s="67" t="s">
        <v>195</v>
      </c>
      <c r="B27" s="67"/>
      <c r="C27" s="67"/>
      <c r="D27" s="67"/>
      <c r="E27" s="67"/>
      <c r="F27" s="67"/>
      <c r="G27" s="67"/>
      <c r="H27" s="67"/>
      <c r="I27" s="67"/>
      <c r="J27" s="67"/>
      <c r="K27" s="67"/>
      <c r="L27" s="67"/>
      <c r="M27" s="67"/>
    </row>
    <row r="28" spans="1:13" x14ac:dyDescent="0.25">
      <c r="A28" s="67"/>
      <c r="B28" s="67"/>
      <c r="C28" s="67"/>
      <c r="D28" s="67"/>
      <c r="E28" s="67"/>
      <c r="F28" s="67"/>
      <c r="G28" s="67"/>
      <c r="H28" s="67"/>
      <c r="I28" s="67"/>
      <c r="J28" s="67"/>
      <c r="K28" s="67"/>
      <c r="L28" s="67"/>
      <c r="M28" s="67"/>
    </row>
    <row r="29" spans="1:13" x14ac:dyDescent="0.25">
      <c r="A29" s="67"/>
      <c r="B29" s="67"/>
      <c r="C29" s="67"/>
      <c r="D29" s="67"/>
      <c r="E29" s="67"/>
      <c r="F29" s="67"/>
      <c r="G29" s="67"/>
      <c r="H29" s="67"/>
      <c r="I29" s="67"/>
      <c r="J29" s="67"/>
      <c r="K29" s="67"/>
      <c r="L29" s="67"/>
      <c r="M29" s="67"/>
    </row>
    <row r="30" spans="1:13" x14ac:dyDescent="0.25">
      <c r="B30" s="45" t="s">
        <v>50</v>
      </c>
      <c r="C30" s="45" t="s">
        <v>5</v>
      </c>
      <c r="F30" s="45" t="s">
        <v>15</v>
      </c>
      <c r="G30" s="45" t="s">
        <v>87</v>
      </c>
    </row>
    <row r="31" spans="1:13" x14ac:dyDescent="0.25">
      <c r="B31" s="45" t="s">
        <v>51</v>
      </c>
      <c r="C31" s="45" t="s">
        <v>52</v>
      </c>
      <c r="F31" s="45" t="s">
        <v>15</v>
      </c>
      <c r="G31" s="45" t="s">
        <v>87</v>
      </c>
    </row>
    <row r="32" spans="1:13" x14ac:dyDescent="0.25">
      <c r="B32" s="45" t="s">
        <v>53</v>
      </c>
      <c r="C32" s="45" t="s">
        <v>54</v>
      </c>
      <c r="F32" s="45" t="s">
        <v>15</v>
      </c>
      <c r="G32" s="45" t="s">
        <v>87</v>
      </c>
    </row>
    <row r="33" spans="1:13" x14ac:dyDescent="0.25">
      <c r="B33" s="45" t="s">
        <v>55</v>
      </c>
      <c r="C33" s="45" t="s">
        <v>56</v>
      </c>
      <c r="F33" s="45" t="s">
        <v>15</v>
      </c>
      <c r="G33" s="45" t="s">
        <v>87</v>
      </c>
    </row>
    <row r="34" spans="1:13" x14ac:dyDescent="0.25">
      <c r="B34" s="45" t="s">
        <v>57</v>
      </c>
      <c r="C34" s="45" t="s">
        <v>58</v>
      </c>
      <c r="F34" s="45" t="s">
        <v>15</v>
      </c>
      <c r="G34" s="45" t="s">
        <v>87</v>
      </c>
    </row>
    <row r="35" spans="1:13" x14ac:dyDescent="0.25">
      <c r="B35" s="45" t="s">
        <v>59</v>
      </c>
      <c r="C35" s="45" t="s">
        <v>60</v>
      </c>
      <c r="F35" s="45" t="s">
        <v>15</v>
      </c>
      <c r="G35" s="45" t="s">
        <v>87</v>
      </c>
    </row>
    <row r="36" spans="1:13" x14ac:dyDescent="0.25">
      <c r="C36" s="56" t="s">
        <v>202</v>
      </c>
      <c r="D36" s="45" t="s">
        <v>166</v>
      </c>
      <c r="F36" s="45" t="s">
        <v>15</v>
      </c>
      <c r="G36" s="45" t="s">
        <v>87</v>
      </c>
    </row>
    <row r="37" spans="1:13" x14ac:dyDescent="0.25">
      <c r="C37" s="56" t="s">
        <v>201</v>
      </c>
      <c r="D37" s="45" t="s">
        <v>185</v>
      </c>
      <c r="F37" s="45" t="s">
        <v>15</v>
      </c>
      <c r="G37" s="45" t="s">
        <v>87</v>
      </c>
    </row>
    <row r="38" spans="1:13" x14ac:dyDescent="0.25">
      <c r="B38" s="45" t="s">
        <v>61</v>
      </c>
      <c r="C38" s="45" t="s">
        <v>62</v>
      </c>
    </row>
    <row r="39" spans="1:13" x14ac:dyDescent="0.25">
      <c r="C39" s="45" t="s">
        <v>63</v>
      </c>
      <c r="D39" s="45" t="s">
        <v>209</v>
      </c>
    </row>
    <row r="40" spans="1:13" x14ac:dyDescent="0.25">
      <c r="D40" s="45" t="s">
        <v>65</v>
      </c>
      <c r="E40" s="45" t="s">
        <v>187</v>
      </c>
      <c r="F40" s="45" t="s">
        <v>15</v>
      </c>
      <c r="G40" s="6">
        <v>0</v>
      </c>
      <c r="H40" s="45" t="s">
        <v>188</v>
      </c>
      <c r="I40" s="46" t="s">
        <v>70</v>
      </c>
      <c r="J40" s="6">
        <f>G40</f>
        <v>0</v>
      </c>
      <c r="K40" s="45" t="s">
        <v>188</v>
      </c>
    </row>
    <row r="41" spans="1:13" x14ac:dyDescent="0.25">
      <c r="D41" s="45" t="s">
        <v>65</v>
      </c>
      <c r="E41" s="45" t="s">
        <v>189</v>
      </c>
      <c r="F41" s="45" t="s">
        <v>15</v>
      </c>
      <c r="G41" s="6">
        <v>0</v>
      </c>
      <c r="H41" s="45" t="s">
        <v>71</v>
      </c>
      <c r="I41" s="46" t="s">
        <v>70</v>
      </c>
      <c r="J41" s="6">
        <f>G41</f>
        <v>0</v>
      </c>
      <c r="K41" s="45" t="s">
        <v>71</v>
      </c>
    </row>
    <row r="42" spans="1:13" x14ac:dyDescent="0.25">
      <c r="D42" s="45" t="s">
        <v>65</v>
      </c>
      <c r="E42" s="45" t="s">
        <v>89</v>
      </c>
      <c r="F42" s="45" t="s">
        <v>15</v>
      </c>
      <c r="G42" s="6"/>
      <c r="H42" s="45" t="s">
        <v>71</v>
      </c>
      <c r="I42" s="46" t="s">
        <v>70</v>
      </c>
      <c r="J42" s="6"/>
      <c r="K42" s="45" t="s">
        <v>71</v>
      </c>
    </row>
    <row r="43" spans="1:13" x14ac:dyDescent="0.25">
      <c r="D43" s="8"/>
      <c r="E43" s="9" t="s">
        <v>73</v>
      </c>
      <c r="F43" s="9" t="s">
        <v>15</v>
      </c>
      <c r="G43" s="10">
        <f>G41</f>
        <v>0</v>
      </c>
      <c r="H43" s="9" t="s">
        <v>71</v>
      </c>
      <c r="I43" s="11" t="s">
        <v>70</v>
      </c>
      <c r="J43" s="10">
        <f>J41</f>
        <v>0</v>
      </c>
      <c r="K43" s="9" t="s">
        <v>71</v>
      </c>
    </row>
    <row r="44" spans="1:13" x14ac:dyDescent="0.25">
      <c r="D44" s="45" t="s">
        <v>65</v>
      </c>
      <c r="E44" s="45" t="s">
        <v>74</v>
      </c>
      <c r="F44" s="45" t="s">
        <v>15</v>
      </c>
      <c r="G44" s="6">
        <v>0</v>
      </c>
      <c r="H44" s="45" t="s">
        <v>71</v>
      </c>
      <c r="I44" s="7" t="s">
        <v>70</v>
      </c>
      <c r="J44" s="6">
        <v>0</v>
      </c>
      <c r="K44" s="45" t="s">
        <v>71</v>
      </c>
    </row>
    <row r="45" spans="1:13" x14ac:dyDescent="0.25">
      <c r="D45" s="45" t="s">
        <v>65</v>
      </c>
      <c r="E45" s="45" t="s">
        <v>75</v>
      </c>
      <c r="F45" s="45" t="s">
        <v>15</v>
      </c>
      <c r="G45" s="6">
        <v>0</v>
      </c>
      <c r="H45" s="45" t="s">
        <v>71</v>
      </c>
      <c r="I45" s="7" t="s">
        <v>70</v>
      </c>
      <c r="J45" s="6">
        <v>0</v>
      </c>
      <c r="K45" s="45" t="s">
        <v>71</v>
      </c>
    </row>
    <row r="46" spans="1:13" x14ac:dyDescent="0.25">
      <c r="D46" s="8"/>
      <c r="E46" s="9" t="s">
        <v>72</v>
      </c>
      <c r="F46" s="9"/>
      <c r="G46" s="10">
        <f>G43</f>
        <v>0</v>
      </c>
      <c r="H46" s="9" t="s">
        <v>71</v>
      </c>
      <c r="I46" s="11" t="s">
        <v>70</v>
      </c>
      <c r="J46" s="10">
        <f>J43</f>
        <v>0</v>
      </c>
      <c r="K46" s="9" t="s">
        <v>71</v>
      </c>
    </row>
    <row r="48" spans="1:13" x14ac:dyDescent="0.25">
      <c r="A48" s="67" t="s">
        <v>80</v>
      </c>
      <c r="B48" s="67"/>
      <c r="C48" s="67"/>
      <c r="D48" s="67"/>
      <c r="E48" s="67"/>
      <c r="F48" s="67"/>
      <c r="G48" s="67"/>
      <c r="H48" s="67"/>
      <c r="I48" s="67"/>
      <c r="J48" s="67"/>
      <c r="K48" s="67"/>
      <c r="L48" s="67"/>
      <c r="M48" s="67"/>
    </row>
    <row r="49" spans="1:13" x14ac:dyDescent="0.25">
      <c r="A49" s="67"/>
      <c r="B49" s="67"/>
      <c r="C49" s="67"/>
      <c r="D49" s="67"/>
      <c r="E49" s="67"/>
      <c r="F49" s="67"/>
      <c r="G49" s="67"/>
      <c r="H49" s="67"/>
      <c r="I49" s="67"/>
      <c r="J49" s="67"/>
      <c r="K49" s="67"/>
      <c r="L49" s="67"/>
      <c r="M49" s="67"/>
    </row>
    <row r="51" spans="1:13" x14ac:dyDescent="0.25">
      <c r="A51" s="76" t="s">
        <v>81</v>
      </c>
      <c r="B51" s="76"/>
      <c r="C51" s="76"/>
      <c r="D51" s="76"/>
      <c r="E51" s="76"/>
      <c r="F51" s="46"/>
      <c r="G51" s="46"/>
      <c r="H51" s="46"/>
      <c r="I51" s="76" t="s">
        <v>82</v>
      </c>
      <c r="J51" s="76"/>
      <c r="K51" s="76"/>
      <c r="L51" s="76"/>
      <c r="M51" s="76"/>
    </row>
    <row r="52" spans="1:13" x14ac:dyDescent="0.25">
      <c r="A52" s="78" t="str">
        <f>G12</f>
        <v>PT. LISINDO SANTOSA</v>
      </c>
      <c r="B52" s="78"/>
      <c r="C52" s="78"/>
      <c r="D52" s="78"/>
      <c r="E52" s="78"/>
      <c r="F52" s="46"/>
      <c r="G52" s="46"/>
      <c r="H52" s="46"/>
      <c r="I52" s="76" t="s">
        <v>91</v>
      </c>
      <c r="J52" s="76"/>
      <c r="K52" s="76"/>
      <c r="L52" s="76"/>
      <c r="M52" s="76"/>
    </row>
    <row r="53" spans="1:13" x14ac:dyDescent="0.25">
      <c r="A53" s="76"/>
      <c r="B53" s="76"/>
      <c r="C53" s="76"/>
      <c r="D53" s="76"/>
      <c r="E53" s="76"/>
      <c r="F53" s="46"/>
      <c r="G53" s="46"/>
      <c r="H53" s="46"/>
      <c r="I53" s="78" t="str">
        <f>G18</f>
        <v>PT. EMKA JAYA UTAMA</v>
      </c>
      <c r="J53" s="78"/>
      <c r="K53" s="78"/>
      <c r="L53" s="78"/>
      <c r="M53" s="78"/>
    </row>
    <row r="54" spans="1:13" x14ac:dyDescent="0.25">
      <c r="A54" s="46"/>
      <c r="B54" s="46"/>
      <c r="C54" s="46"/>
      <c r="D54" s="46"/>
      <c r="E54" s="46"/>
      <c r="F54" s="46"/>
      <c r="G54" s="46"/>
      <c r="H54" s="46"/>
      <c r="I54" s="46"/>
      <c r="J54" s="46"/>
      <c r="K54" s="46"/>
      <c r="L54" s="46"/>
      <c r="M54" s="46"/>
    </row>
    <row r="55" spans="1:13" x14ac:dyDescent="0.25">
      <c r="A55" s="46"/>
      <c r="B55" s="46"/>
      <c r="C55" s="46"/>
      <c r="D55" s="46"/>
      <c r="E55" s="46"/>
      <c r="F55" s="46"/>
      <c r="G55" s="46"/>
      <c r="H55" s="46"/>
      <c r="I55" s="46"/>
      <c r="J55" s="46"/>
      <c r="K55" s="46"/>
      <c r="L55" s="46"/>
      <c r="M55" s="46"/>
    </row>
    <row r="56" spans="1:13" x14ac:dyDescent="0.25">
      <c r="A56" s="76"/>
      <c r="B56" s="76"/>
      <c r="C56" s="76"/>
      <c r="D56" s="76"/>
      <c r="E56" s="76"/>
      <c r="F56" s="46"/>
      <c r="G56" s="46"/>
      <c r="H56" s="46"/>
      <c r="I56" s="76"/>
      <c r="J56" s="76"/>
      <c r="K56" s="76"/>
      <c r="L56" s="76"/>
      <c r="M56" s="76"/>
    </row>
    <row r="57" spans="1:13" x14ac:dyDescent="0.25">
      <c r="A57" s="77" t="str">
        <f>UPPER(G14)</f>
        <v>……………………………</v>
      </c>
      <c r="B57" s="77"/>
      <c r="C57" s="77"/>
      <c r="D57" s="77"/>
      <c r="E57" s="77"/>
      <c r="F57" s="46"/>
      <c r="G57" s="46"/>
      <c r="H57" s="46"/>
      <c r="I57" s="77" t="str">
        <f>UPPER(G21)</f>
        <v>HILARIUS MBUSA</v>
      </c>
      <c r="J57" s="77"/>
      <c r="K57" s="77"/>
      <c r="L57" s="77"/>
      <c r="M57" s="77"/>
    </row>
    <row r="58" spans="1:13" x14ac:dyDescent="0.25">
      <c r="A58" s="76" t="str">
        <f>G15</f>
        <v>……………………………</v>
      </c>
      <c r="B58" s="76"/>
      <c r="C58" s="76"/>
      <c r="D58" s="76"/>
      <c r="E58" s="76"/>
      <c r="F58" s="46"/>
      <c r="G58" s="46"/>
      <c r="H58" s="46"/>
      <c r="I58" s="76" t="str">
        <f>G22</f>
        <v>Direktur</v>
      </c>
      <c r="J58" s="76"/>
      <c r="K58" s="76"/>
      <c r="L58" s="76"/>
      <c r="M58" s="76"/>
    </row>
    <row r="59" spans="1:13" x14ac:dyDescent="0.25">
      <c r="A59" s="76"/>
      <c r="B59" s="76"/>
      <c r="C59" s="76"/>
      <c r="D59" s="76"/>
      <c r="E59" s="76"/>
      <c r="F59" s="46"/>
      <c r="G59" s="46"/>
      <c r="H59" s="46"/>
      <c r="I59" s="76"/>
      <c r="J59" s="76"/>
      <c r="K59" s="76"/>
      <c r="L59" s="76"/>
      <c r="M59" s="76"/>
    </row>
    <row r="60" spans="1:13" x14ac:dyDescent="0.25">
      <c r="A60" s="76"/>
      <c r="B60" s="76"/>
      <c r="C60" s="76"/>
      <c r="D60" s="76"/>
      <c r="E60" s="76"/>
      <c r="F60" s="76"/>
      <c r="G60" s="76"/>
      <c r="H60" s="76"/>
      <c r="I60" s="76"/>
      <c r="J60" s="76"/>
      <c r="K60" s="76"/>
      <c r="L60" s="76"/>
      <c r="M60" s="76"/>
    </row>
    <row r="61" spans="1:13" x14ac:dyDescent="0.25">
      <c r="A61" s="76"/>
      <c r="B61" s="76"/>
      <c r="C61" s="76"/>
      <c r="D61" s="76"/>
      <c r="E61" s="76"/>
      <c r="F61" s="76"/>
      <c r="G61" s="76"/>
      <c r="H61" s="76"/>
      <c r="I61" s="76"/>
      <c r="J61" s="76"/>
      <c r="K61" s="76"/>
      <c r="L61" s="76"/>
      <c r="M61" s="76"/>
    </row>
    <row r="62" spans="1:13" x14ac:dyDescent="0.25">
      <c r="A62" s="76"/>
      <c r="B62" s="76"/>
      <c r="C62" s="76"/>
      <c r="D62" s="76"/>
      <c r="E62" s="76"/>
      <c r="F62" s="76"/>
      <c r="G62" s="76"/>
      <c r="H62" s="76"/>
      <c r="I62" s="76"/>
      <c r="J62" s="76"/>
      <c r="K62" s="76"/>
      <c r="L62" s="76"/>
      <c r="M62" s="76"/>
    </row>
    <row r="63" spans="1:13" x14ac:dyDescent="0.25">
      <c r="A63" s="76"/>
      <c r="B63" s="76"/>
      <c r="C63" s="76"/>
      <c r="D63" s="76"/>
      <c r="E63" s="76"/>
      <c r="F63" s="76"/>
      <c r="G63" s="76"/>
      <c r="H63" s="76"/>
      <c r="I63" s="76"/>
      <c r="J63" s="76"/>
      <c r="K63" s="76"/>
      <c r="L63" s="76"/>
      <c r="M63" s="76"/>
    </row>
    <row r="64" spans="1:13" x14ac:dyDescent="0.25">
      <c r="A64" s="76"/>
      <c r="B64" s="76"/>
      <c r="C64" s="76"/>
      <c r="D64" s="76"/>
      <c r="E64" s="76"/>
      <c r="F64" s="76"/>
      <c r="G64" s="76"/>
      <c r="H64" s="76"/>
      <c r="I64" s="76"/>
      <c r="J64" s="76"/>
      <c r="K64" s="76"/>
      <c r="L64" s="76"/>
      <c r="M64" s="76"/>
    </row>
    <row r="65" spans="1:13" x14ac:dyDescent="0.25">
      <c r="A65" s="76"/>
      <c r="B65" s="76"/>
      <c r="C65" s="76"/>
      <c r="D65" s="76"/>
      <c r="E65" s="76"/>
      <c r="F65" s="76"/>
      <c r="G65" s="76"/>
      <c r="H65" s="76"/>
      <c r="I65" s="76"/>
      <c r="J65" s="76"/>
      <c r="K65" s="76"/>
      <c r="L65" s="76"/>
      <c r="M65" s="76"/>
    </row>
    <row r="66" spans="1:13" x14ac:dyDescent="0.25">
      <c r="A66" s="77"/>
      <c r="B66" s="77"/>
      <c r="C66" s="77"/>
      <c r="D66" s="77"/>
      <c r="E66" s="77"/>
      <c r="F66" s="77"/>
      <c r="G66" s="77"/>
      <c r="H66" s="77"/>
      <c r="I66" s="77"/>
      <c r="J66" s="77"/>
      <c r="K66" s="77"/>
      <c r="L66" s="77"/>
      <c r="M66" s="77"/>
    </row>
    <row r="67" spans="1:13" x14ac:dyDescent="0.25">
      <c r="A67" s="76"/>
      <c r="B67" s="76"/>
      <c r="C67" s="76"/>
      <c r="D67" s="76"/>
      <c r="E67" s="76"/>
      <c r="F67" s="76"/>
      <c r="G67" s="76"/>
      <c r="H67" s="76"/>
      <c r="I67" s="76"/>
      <c r="J67" s="76"/>
      <c r="K67" s="76"/>
      <c r="L67" s="76"/>
      <c r="M67" s="76"/>
    </row>
    <row r="68" spans="1:13" x14ac:dyDescent="0.25">
      <c r="A68" s="75"/>
      <c r="B68" s="75"/>
      <c r="C68" s="75"/>
      <c r="D68" s="75"/>
      <c r="E68" s="75"/>
      <c r="F68" s="75"/>
      <c r="G68" s="75"/>
      <c r="H68" s="75"/>
      <c r="I68" s="75"/>
      <c r="J68" s="75"/>
      <c r="K68" s="75"/>
      <c r="L68" s="75"/>
      <c r="M68" s="75"/>
    </row>
    <row r="69" spans="1:13" x14ac:dyDescent="0.25">
      <c r="A69" s="75"/>
      <c r="B69" s="75"/>
      <c r="C69" s="75"/>
      <c r="D69" s="75"/>
      <c r="E69" s="75"/>
      <c r="F69" s="75"/>
      <c r="G69" s="75"/>
      <c r="H69" s="75"/>
      <c r="I69" s="75"/>
      <c r="J69" s="75"/>
      <c r="K69" s="75"/>
      <c r="L69" s="75"/>
      <c r="M69" s="75"/>
    </row>
    <row r="70" spans="1:13" x14ac:dyDescent="0.25">
      <c r="A70" s="75"/>
      <c r="B70" s="75"/>
      <c r="C70" s="75"/>
      <c r="D70" s="75"/>
      <c r="E70" s="75"/>
      <c r="F70" s="75"/>
      <c r="G70" s="75"/>
      <c r="H70" s="75"/>
      <c r="I70" s="75"/>
      <c r="J70" s="75"/>
      <c r="K70" s="75"/>
      <c r="L70" s="75"/>
      <c r="M70" s="75"/>
    </row>
  </sheetData>
  <mergeCells count="34">
    <mergeCell ref="G19:M20"/>
    <mergeCell ref="A1:M5"/>
    <mergeCell ref="A7:M7"/>
    <mergeCell ref="A8:M8"/>
    <mergeCell ref="A10:M11"/>
    <mergeCell ref="B16:M17"/>
    <mergeCell ref="A53:E53"/>
    <mergeCell ref="I53:M53"/>
    <mergeCell ref="A56:E56"/>
    <mergeCell ref="I56:M56"/>
    <mergeCell ref="B23:M25"/>
    <mergeCell ref="A27:M29"/>
    <mergeCell ref="A48:M49"/>
    <mergeCell ref="A51:E51"/>
    <mergeCell ref="I51:M51"/>
    <mergeCell ref="A52:E52"/>
    <mergeCell ref="I52:M52"/>
    <mergeCell ref="A65:M65"/>
    <mergeCell ref="A57:E57"/>
    <mergeCell ref="I57:M57"/>
    <mergeCell ref="A58:E58"/>
    <mergeCell ref="I58:M58"/>
    <mergeCell ref="A59:E59"/>
    <mergeCell ref="I59:M59"/>
    <mergeCell ref="A60:M60"/>
    <mergeCell ref="A61:M61"/>
    <mergeCell ref="A62:M62"/>
    <mergeCell ref="A63:M63"/>
    <mergeCell ref="A64:M64"/>
    <mergeCell ref="A66:M66"/>
    <mergeCell ref="A67:M67"/>
    <mergeCell ref="A68:M68"/>
    <mergeCell ref="A69:M69"/>
    <mergeCell ref="A70:M70"/>
  </mergeCells>
  <pageMargins left="0.70866141732283472" right="0.70866141732283472" top="0.59055118110236227" bottom="0.59055118110236227" header="0.31496062992125984" footer="0.31496062992125984"/>
  <pageSetup paperSize="9" scale="90" orientation="portrait" horizontalDpi="4294967293" verticalDpi="36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81"/>
  <sheetViews>
    <sheetView view="pageBreakPreview" topLeftCell="A43" zoomScale="115" zoomScaleNormal="160" zoomScaleSheetLayoutView="115" workbookViewId="0">
      <selection activeCell="E34" sqref="E34"/>
    </sheetView>
  </sheetViews>
  <sheetFormatPr defaultRowHeight="15" x14ac:dyDescent="0.25"/>
  <cols>
    <col min="1" max="1" width="3.28515625" customWidth="1"/>
    <col min="2" max="2" width="3.140625" customWidth="1"/>
    <col min="3" max="3" width="4.42578125" customWidth="1"/>
    <col min="4" max="4" width="3.140625" customWidth="1"/>
    <col min="5" max="5" width="24.7109375" customWidth="1"/>
    <col min="6" max="6" width="3.28515625" customWidth="1"/>
    <col min="7" max="7" width="10" customWidth="1"/>
    <col min="8" max="8" width="4.85546875" customWidth="1"/>
    <col min="9" max="9" width="5.5703125" customWidth="1"/>
    <col min="10" max="10" width="10.42578125" customWidth="1"/>
    <col min="11" max="11" width="5.42578125" customWidth="1"/>
  </cols>
  <sheetData>
    <row r="1" spans="1:13" x14ac:dyDescent="0.25">
      <c r="A1" s="69"/>
      <c r="B1" s="69"/>
      <c r="C1" s="69"/>
      <c r="D1" s="69"/>
      <c r="E1" s="69"/>
      <c r="F1" s="69"/>
      <c r="G1" s="69"/>
      <c r="H1" s="69"/>
      <c r="I1" s="69"/>
      <c r="J1" s="69"/>
      <c r="K1" s="69"/>
      <c r="L1" s="69"/>
      <c r="M1" s="69"/>
    </row>
    <row r="2" spans="1:13" x14ac:dyDescent="0.25">
      <c r="A2" s="69"/>
      <c r="B2" s="69"/>
      <c r="C2" s="69"/>
      <c r="D2" s="69"/>
      <c r="E2" s="69"/>
      <c r="F2" s="69"/>
      <c r="G2" s="69"/>
      <c r="H2" s="69"/>
      <c r="I2" s="69"/>
      <c r="J2" s="69"/>
      <c r="K2" s="69"/>
      <c r="L2" s="69"/>
      <c r="M2" s="69"/>
    </row>
    <row r="3" spans="1:13" x14ac:dyDescent="0.25">
      <c r="A3" s="69"/>
      <c r="B3" s="69"/>
      <c r="C3" s="69"/>
      <c r="D3" s="69"/>
      <c r="E3" s="69"/>
      <c r="F3" s="69"/>
      <c r="G3" s="69"/>
      <c r="H3" s="69"/>
      <c r="I3" s="69"/>
      <c r="J3" s="69"/>
      <c r="K3" s="69"/>
      <c r="L3" s="69"/>
      <c r="M3" s="69"/>
    </row>
    <row r="4" spans="1:13" x14ac:dyDescent="0.25">
      <c r="A4" s="69"/>
      <c r="B4" s="69"/>
      <c r="C4" s="69"/>
      <c r="D4" s="69"/>
      <c r="E4" s="69"/>
      <c r="F4" s="69"/>
      <c r="G4" s="69"/>
      <c r="H4" s="69"/>
      <c r="I4" s="69"/>
      <c r="J4" s="69"/>
      <c r="K4" s="69"/>
      <c r="L4" s="69"/>
      <c r="M4" s="69"/>
    </row>
    <row r="5" spans="1:13" ht="26.25" customHeight="1" x14ac:dyDescent="0.25">
      <c r="A5" s="69"/>
      <c r="B5" s="69"/>
      <c r="C5" s="69"/>
      <c r="D5" s="69"/>
      <c r="E5" s="69"/>
      <c r="F5" s="69"/>
      <c r="G5" s="69"/>
      <c r="H5" s="69"/>
      <c r="I5" s="69"/>
      <c r="J5" s="69"/>
      <c r="K5" s="69"/>
      <c r="L5" s="69"/>
      <c r="M5" s="69"/>
    </row>
    <row r="7" spans="1:13" x14ac:dyDescent="0.25">
      <c r="A7" s="77" t="s">
        <v>37</v>
      </c>
      <c r="B7" s="77"/>
      <c r="C7" s="77"/>
      <c r="D7" s="77"/>
      <c r="E7" s="77"/>
      <c r="F7" s="77"/>
      <c r="G7" s="77"/>
      <c r="H7" s="77"/>
      <c r="I7" s="77"/>
      <c r="J7" s="77"/>
      <c r="K7" s="77"/>
      <c r="L7" s="77"/>
      <c r="M7" s="77"/>
    </row>
    <row r="8" spans="1:13" x14ac:dyDescent="0.25">
      <c r="A8" s="76" t="s">
        <v>88</v>
      </c>
      <c r="B8" s="76"/>
      <c r="C8" s="76"/>
      <c r="D8" s="76"/>
      <c r="E8" s="76"/>
      <c r="F8" s="76"/>
      <c r="G8" s="76"/>
      <c r="H8" s="76"/>
      <c r="I8" s="76"/>
      <c r="J8" s="76"/>
      <c r="K8" s="76"/>
      <c r="L8" s="76"/>
      <c r="M8" s="76"/>
    </row>
    <row r="10" spans="1:13" x14ac:dyDescent="0.25">
      <c r="A10" s="67" t="s">
        <v>38</v>
      </c>
      <c r="B10" s="67"/>
      <c r="C10" s="67"/>
      <c r="D10" s="67"/>
      <c r="E10" s="67"/>
      <c r="F10" s="67"/>
      <c r="G10" s="67"/>
      <c r="H10" s="67"/>
      <c r="I10" s="67"/>
      <c r="J10" s="67"/>
      <c r="K10" s="67"/>
      <c r="L10" s="67"/>
      <c r="M10" s="67"/>
    </row>
    <row r="11" spans="1:13" x14ac:dyDescent="0.25">
      <c r="A11" s="67"/>
      <c r="B11" s="67"/>
      <c r="C11" s="67"/>
      <c r="D11" s="67"/>
      <c r="E11" s="67"/>
      <c r="F11" s="67"/>
      <c r="G11" s="67"/>
      <c r="H11" s="67"/>
      <c r="I11" s="67"/>
      <c r="J11" s="67"/>
      <c r="K11" s="67"/>
      <c r="L11" s="67"/>
      <c r="M11" s="67"/>
    </row>
    <row r="12" spans="1:13" x14ac:dyDescent="0.25">
      <c r="A12" t="s">
        <v>39</v>
      </c>
      <c r="B12" t="s">
        <v>40</v>
      </c>
      <c r="F12" t="s">
        <v>15</v>
      </c>
      <c r="G12" t="s">
        <v>83</v>
      </c>
    </row>
    <row r="13" spans="1:13" x14ac:dyDescent="0.25">
      <c r="B13" t="s">
        <v>41</v>
      </c>
      <c r="F13" t="s">
        <v>15</v>
      </c>
      <c r="G13" t="s">
        <v>83</v>
      </c>
    </row>
    <row r="14" spans="1:13" x14ac:dyDescent="0.25">
      <c r="B14" t="s">
        <v>42</v>
      </c>
      <c r="F14" t="s">
        <v>15</v>
      </c>
      <c r="G14" t="s">
        <v>83</v>
      </c>
    </row>
    <row r="15" spans="1:13" x14ac:dyDescent="0.25">
      <c r="B15" t="s">
        <v>43</v>
      </c>
      <c r="F15" t="s">
        <v>15</v>
      </c>
      <c r="G15" t="s">
        <v>83</v>
      </c>
    </row>
    <row r="16" spans="1:13" x14ac:dyDescent="0.25">
      <c r="B16" s="67" t="s">
        <v>45</v>
      </c>
      <c r="C16" s="67"/>
      <c r="D16" s="67"/>
      <c r="E16" s="67"/>
      <c r="F16" s="67"/>
      <c r="G16" s="67"/>
      <c r="H16" s="67"/>
      <c r="I16" s="67"/>
      <c r="J16" s="67"/>
      <c r="K16" s="67"/>
      <c r="L16" s="67"/>
      <c r="M16" s="67"/>
    </row>
    <row r="17" spans="1:16" x14ac:dyDescent="0.25">
      <c r="B17" s="67"/>
      <c r="C17" s="67"/>
      <c r="D17" s="67"/>
      <c r="E17" s="67"/>
      <c r="F17" s="67"/>
      <c r="G17" s="67"/>
      <c r="H17" s="67"/>
      <c r="I17" s="67"/>
      <c r="J17" s="67"/>
      <c r="K17" s="67"/>
      <c r="L17" s="67"/>
      <c r="M17" s="67"/>
    </row>
    <row r="18" spans="1:16" x14ac:dyDescent="0.25">
      <c r="B18" s="67"/>
      <c r="C18" s="67"/>
      <c r="D18" s="67"/>
      <c r="E18" s="67"/>
      <c r="F18" s="67"/>
      <c r="G18" s="67"/>
      <c r="H18" s="67"/>
      <c r="I18" s="67"/>
      <c r="J18" s="67"/>
      <c r="K18" s="67"/>
      <c r="L18" s="67"/>
      <c r="M18" s="67"/>
    </row>
    <row r="19" spans="1:16" x14ac:dyDescent="0.25">
      <c r="A19" t="s">
        <v>44</v>
      </c>
      <c r="B19" t="s">
        <v>40</v>
      </c>
      <c r="F19" t="s">
        <v>15</v>
      </c>
      <c r="G19" t="s">
        <v>31</v>
      </c>
    </row>
    <row r="20" spans="1:16" x14ac:dyDescent="0.25">
      <c r="B20" t="s">
        <v>41</v>
      </c>
      <c r="F20" t="s">
        <v>15</v>
      </c>
      <c r="G20" s="67" t="s">
        <v>161</v>
      </c>
      <c r="H20" s="67"/>
      <c r="I20" s="67"/>
      <c r="J20" s="67"/>
      <c r="K20" s="67"/>
      <c r="L20" s="67"/>
      <c r="M20" s="67"/>
    </row>
    <row r="21" spans="1:16" x14ac:dyDescent="0.25">
      <c r="G21" s="67"/>
      <c r="H21" s="67"/>
      <c r="I21" s="67"/>
      <c r="J21" s="67"/>
      <c r="K21" s="67"/>
      <c r="L21" s="67"/>
      <c r="M21" s="67"/>
    </row>
    <row r="22" spans="1:16" x14ac:dyDescent="0.25">
      <c r="B22" t="s">
        <v>42</v>
      </c>
      <c r="F22" t="s">
        <v>15</v>
      </c>
      <c r="G22" t="s">
        <v>47</v>
      </c>
    </row>
    <row r="23" spans="1:16" x14ac:dyDescent="0.25">
      <c r="B23" t="s">
        <v>43</v>
      </c>
      <c r="F23" t="s">
        <v>15</v>
      </c>
      <c r="G23" t="s">
        <v>48</v>
      </c>
    </row>
    <row r="24" spans="1:16" x14ac:dyDescent="0.25">
      <c r="B24" s="67" t="s">
        <v>46</v>
      </c>
      <c r="C24" s="67"/>
      <c r="D24" s="67"/>
      <c r="E24" s="67"/>
      <c r="F24" s="67"/>
      <c r="G24" s="67"/>
      <c r="H24" s="67"/>
      <c r="I24" s="67"/>
      <c r="J24" s="67"/>
      <c r="K24" s="67"/>
      <c r="L24" s="67"/>
      <c r="M24" s="67"/>
    </row>
    <row r="25" spans="1:16" x14ac:dyDescent="0.25">
      <c r="B25" s="67"/>
      <c r="C25" s="67"/>
      <c r="D25" s="67"/>
      <c r="E25" s="67"/>
      <c r="F25" s="67"/>
      <c r="G25" s="67"/>
      <c r="H25" s="67"/>
      <c r="I25" s="67"/>
      <c r="J25" s="67"/>
      <c r="K25" s="67"/>
      <c r="L25" s="67"/>
      <c r="M25" s="67"/>
    </row>
    <row r="26" spans="1:16" x14ac:dyDescent="0.25">
      <c r="B26" s="67"/>
      <c r="C26" s="67"/>
      <c r="D26" s="67"/>
      <c r="E26" s="67"/>
      <c r="F26" s="67"/>
      <c r="G26" s="67"/>
      <c r="H26" s="67"/>
      <c r="I26" s="67"/>
      <c r="J26" s="67"/>
      <c r="K26" s="67"/>
      <c r="L26" s="67"/>
      <c r="M26" s="67"/>
    </row>
    <row r="27" spans="1:16" x14ac:dyDescent="0.25">
      <c r="P27">
        <f>2000/25</f>
        <v>80</v>
      </c>
    </row>
    <row r="28" spans="1:16" x14ac:dyDescent="0.25">
      <c r="A28" s="67" t="s">
        <v>49</v>
      </c>
      <c r="B28" s="67"/>
      <c r="C28" s="67"/>
      <c r="D28" s="67"/>
      <c r="E28" s="67"/>
      <c r="F28" s="67"/>
      <c r="G28" s="67"/>
      <c r="H28" s="67"/>
      <c r="I28" s="67"/>
      <c r="J28" s="67"/>
      <c r="K28" s="67"/>
      <c r="L28" s="67"/>
      <c r="M28" s="67"/>
    </row>
    <row r="29" spans="1:16" x14ac:dyDescent="0.25">
      <c r="A29" s="67"/>
      <c r="B29" s="67"/>
      <c r="C29" s="67"/>
      <c r="D29" s="67"/>
      <c r="E29" s="67"/>
      <c r="F29" s="67"/>
      <c r="G29" s="67"/>
      <c r="H29" s="67"/>
      <c r="I29" s="67"/>
      <c r="J29" s="67"/>
      <c r="K29" s="67"/>
      <c r="L29" s="67"/>
      <c r="M29" s="67"/>
    </row>
    <row r="30" spans="1:16" x14ac:dyDescent="0.25">
      <c r="A30" s="67"/>
      <c r="B30" s="67"/>
      <c r="C30" s="67"/>
      <c r="D30" s="67"/>
      <c r="E30" s="67"/>
      <c r="F30" s="67"/>
      <c r="G30" s="67"/>
      <c r="H30" s="67"/>
      <c r="I30" s="67"/>
      <c r="J30" s="67"/>
      <c r="K30" s="67"/>
      <c r="L30" s="67"/>
      <c r="M30" s="67"/>
    </row>
    <row r="31" spans="1:16" x14ac:dyDescent="0.25">
      <c r="B31" t="s">
        <v>50</v>
      </c>
      <c r="C31" t="s">
        <v>5</v>
      </c>
    </row>
    <row r="32" spans="1:16" x14ac:dyDescent="0.25">
      <c r="B32" t="s">
        <v>51</v>
      </c>
      <c r="C32" t="s">
        <v>52</v>
      </c>
    </row>
    <row r="33" spans="2:15" x14ac:dyDescent="0.25">
      <c r="B33" t="s">
        <v>53</v>
      </c>
      <c r="C33" t="s">
        <v>54</v>
      </c>
    </row>
    <row r="34" spans="2:15" x14ac:dyDescent="0.25">
      <c r="B34" t="s">
        <v>55</v>
      </c>
      <c r="C34" t="s">
        <v>56</v>
      </c>
    </row>
    <row r="35" spans="2:15" x14ac:dyDescent="0.25">
      <c r="B35" t="s">
        <v>57</v>
      </c>
      <c r="C35" t="s">
        <v>58</v>
      </c>
    </row>
    <row r="36" spans="2:15" x14ac:dyDescent="0.25">
      <c r="B36" t="s">
        <v>59</v>
      </c>
      <c r="C36" t="s">
        <v>60</v>
      </c>
    </row>
    <row r="37" spans="2:15" x14ac:dyDescent="0.25">
      <c r="B37" t="s">
        <v>61</v>
      </c>
      <c r="C37" t="s">
        <v>62</v>
      </c>
    </row>
    <row r="38" spans="2:15" x14ac:dyDescent="0.25">
      <c r="C38" t="s">
        <v>63</v>
      </c>
      <c r="D38" t="s">
        <v>64</v>
      </c>
    </row>
    <row r="39" spans="2:15" x14ac:dyDescent="0.25">
      <c r="D39" t="s">
        <v>65</v>
      </c>
      <c r="E39" t="s">
        <v>66</v>
      </c>
      <c r="F39" t="s">
        <v>15</v>
      </c>
      <c r="G39" s="6">
        <v>98800</v>
      </c>
      <c r="H39" t="s">
        <v>69</v>
      </c>
      <c r="I39" s="5" t="s">
        <v>70</v>
      </c>
      <c r="J39" s="6">
        <f>G39/25</f>
        <v>3952</v>
      </c>
      <c r="K39" t="s">
        <v>71</v>
      </c>
    </row>
    <row r="40" spans="2:15" x14ac:dyDescent="0.25">
      <c r="D40" t="s">
        <v>65</v>
      </c>
      <c r="E40" t="s">
        <v>67</v>
      </c>
      <c r="F40" t="s">
        <v>15</v>
      </c>
      <c r="G40" s="6">
        <v>0</v>
      </c>
      <c r="H40" t="s">
        <v>69</v>
      </c>
      <c r="I40" s="5" t="s">
        <v>70</v>
      </c>
      <c r="J40" s="6">
        <f>G40/25</f>
        <v>0</v>
      </c>
      <c r="K40" t="s">
        <v>71</v>
      </c>
    </row>
    <row r="41" spans="2:15" x14ac:dyDescent="0.25">
      <c r="D41" t="s">
        <v>65</v>
      </c>
      <c r="E41" t="s">
        <v>68</v>
      </c>
      <c r="F41" t="s">
        <v>15</v>
      </c>
      <c r="G41" s="6">
        <v>1200</v>
      </c>
      <c r="H41" t="s">
        <v>69</v>
      </c>
      <c r="I41" s="5" t="s">
        <v>70</v>
      </c>
      <c r="J41" s="6">
        <f>G41/25</f>
        <v>48</v>
      </c>
      <c r="K41" t="s">
        <v>71</v>
      </c>
    </row>
    <row r="42" spans="2:15" x14ac:dyDescent="0.25">
      <c r="D42" s="8"/>
      <c r="E42" s="9" t="s">
        <v>73</v>
      </c>
      <c r="F42" s="9" t="s">
        <v>15</v>
      </c>
      <c r="G42" s="10">
        <f>SUM(G39:G41)</f>
        <v>100000</v>
      </c>
      <c r="H42" s="9" t="s">
        <v>69</v>
      </c>
      <c r="I42" s="11" t="s">
        <v>70</v>
      </c>
      <c r="J42" s="10">
        <f>SUM(J39:J41)</f>
        <v>4000</v>
      </c>
      <c r="K42" s="9" t="s">
        <v>71</v>
      </c>
      <c r="O42" s="40">
        <f>G39-G41</f>
        <v>97600</v>
      </c>
    </row>
    <row r="43" spans="2:15" x14ac:dyDescent="0.25">
      <c r="D43" t="s">
        <v>65</v>
      </c>
      <c r="E43" t="s">
        <v>74</v>
      </c>
      <c r="F43" t="s">
        <v>15</v>
      </c>
      <c r="G43" s="6">
        <v>0</v>
      </c>
      <c r="H43" t="s">
        <v>69</v>
      </c>
      <c r="I43" s="7" t="s">
        <v>70</v>
      </c>
      <c r="J43" s="6">
        <v>0</v>
      </c>
      <c r="K43" t="s">
        <v>71</v>
      </c>
    </row>
    <row r="44" spans="2:15" x14ac:dyDescent="0.25">
      <c r="D44" t="s">
        <v>65</v>
      </c>
      <c r="E44" t="s">
        <v>75</v>
      </c>
      <c r="F44" t="s">
        <v>15</v>
      </c>
      <c r="G44" s="6">
        <v>0</v>
      </c>
      <c r="H44" t="s">
        <v>69</v>
      </c>
      <c r="I44" s="7" t="s">
        <v>70</v>
      </c>
      <c r="J44" s="6">
        <v>0</v>
      </c>
      <c r="K44" t="s">
        <v>71</v>
      </c>
    </row>
    <row r="45" spans="2:15" x14ac:dyDescent="0.25">
      <c r="D45" s="8"/>
      <c r="E45" s="9" t="s">
        <v>72</v>
      </c>
      <c r="F45" s="9"/>
      <c r="G45" s="10">
        <f>SUM(G43:G44)</f>
        <v>0</v>
      </c>
      <c r="H45" s="9" t="s">
        <v>69</v>
      </c>
      <c r="I45" s="11" t="s">
        <v>70</v>
      </c>
      <c r="J45" s="10">
        <f>SUM(J43:J44)</f>
        <v>0</v>
      </c>
      <c r="K45" s="9" t="s">
        <v>71</v>
      </c>
    </row>
    <row r="47" spans="2:15" x14ac:dyDescent="0.25">
      <c r="C47" t="s">
        <v>76</v>
      </c>
      <c r="D47" t="s">
        <v>77</v>
      </c>
    </row>
    <row r="48" spans="2:15" x14ac:dyDescent="0.25">
      <c r="D48" t="s">
        <v>65</v>
      </c>
      <c r="E48" t="s">
        <v>78</v>
      </c>
      <c r="I48" s="7" t="s">
        <v>70</v>
      </c>
      <c r="J48" s="6">
        <v>0</v>
      </c>
      <c r="K48" t="s">
        <v>79</v>
      </c>
    </row>
    <row r="49" spans="1:13" x14ac:dyDescent="0.25">
      <c r="D49" t="s">
        <v>65</v>
      </c>
      <c r="E49" t="s">
        <v>62</v>
      </c>
      <c r="I49" s="7" t="s">
        <v>70</v>
      </c>
      <c r="J49" s="6">
        <v>250</v>
      </c>
      <c r="K49" t="s">
        <v>79</v>
      </c>
    </row>
    <row r="50" spans="1:13" x14ac:dyDescent="0.25">
      <c r="J50" s="40"/>
    </row>
    <row r="57" spans="1:13" x14ac:dyDescent="0.25">
      <c r="A57" s="67" t="s">
        <v>80</v>
      </c>
      <c r="B57" s="67"/>
      <c r="C57" s="67"/>
      <c r="D57" s="67"/>
      <c r="E57" s="67"/>
      <c r="F57" s="67"/>
      <c r="G57" s="67"/>
      <c r="H57" s="67"/>
      <c r="I57" s="67"/>
      <c r="J57" s="67"/>
      <c r="K57" s="67"/>
      <c r="L57" s="67"/>
      <c r="M57" s="67"/>
    </row>
    <row r="58" spans="1:13" x14ac:dyDescent="0.25">
      <c r="A58" s="67"/>
      <c r="B58" s="67"/>
      <c r="C58" s="67"/>
      <c r="D58" s="67"/>
      <c r="E58" s="67"/>
      <c r="F58" s="67"/>
      <c r="G58" s="67"/>
      <c r="H58" s="67"/>
      <c r="I58" s="67"/>
      <c r="J58" s="67"/>
      <c r="K58" s="67"/>
      <c r="L58" s="67"/>
      <c r="M58" s="67"/>
    </row>
    <row r="60" spans="1:13" x14ac:dyDescent="0.25">
      <c r="A60" s="76" t="s">
        <v>81</v>
      </c>
      <c r="B60" s="76"/>
      <c r="C60" s="76"/>
      <c r="D60" s="76"/>
      <c r="E60" s="76"/>
      <c r="F60" s="5"/>
      <c r="G60" s="5"/>
      <c r="H60" s="5"/>
      <c r="I60" s="76" t="s">
        <v>82</v>
      </c>
      <c r="J60" s="76"/>
      <c r="K60" s="76"/>
      <c r="L60" s="76"/>
      <c r="M60" s="76"/>
    </row>
    <row r="61" spans="1:13" x14ac:dyDescent="0.25">
      <c r="A61" s="76" t="s">
        <v>90</v>
      </c>
      <c r="B61" s="76"/>
      <c r="C61" s="76"/>
      <c r="D61" s="76"/>
      <c r="E61" s="76"/>
      <c r="F61" s="5"/>
      <c r="G61" s="5"/>
      <c r="H61" s="5"/>
      <c r="I61" s="5"/>
      <c r="J61" s="5"/>
      <c r="K61" s="5"/>
      <c r="L61" s="5"/>
      <c r="M61" s="5"/>
    </row>
    <row r="62" spans="1:13" x14ac:dyDescent="0.25">
      <c r="A62" s="76" t="str">
        <f>G19</f>
        <v>PT. EMKA JAYA UTAMA</v>
      </c>
      <c r="B62" s="76"/>
      <c r="C62" s="76"/>
      <c r="D62" s="76"/>
      <c r="E62" s="76"/>
      <c r="F62" s="5"/>
      <c r="G62" s="5"/>
      <c r="H62" s="5"/>
      <c r="I62" s="76" t="str">
        <f>G12</f>
        <v>……………………………</v>
      </c>
      <c r="J62" s="76"/>
      <c r="K62" s="76"/>
      <c r="L62" s="76"/>
      <c r="M62" s="76"/>
    </row>
    <row r="63" spans="1:13" x14ac:dyDescent="0.25">
      <c r="A63" s="76"/>
      <c r="B63" s="76"/>
      <c r="C63" s="76"/>
      <c r="D63" s="76"/>
      <c r="E63" s="76"/>
      <c r="F63" s="5"/>
      <c r="G63" s="5"/>
      <c r="H63" s="5"/>
      <c r="I63" s="76"/>
      <c r="J63" s="76"/>
      <c r="K63" s="76"/>
      <c r="L63" s="76"/>
      <c r="M63" s="76"/>
    </row>
    <row r="64" spans="1:13" x14ac:dyDescent="0.25">
      <c r="A64" s="76"/>
      <c r="B64" s="76"/>
      <c r="C64" s="76"/>
      <c r="D64" s="76"/>
      <c r="E64" s="76"/>
      <c r="F64" s="5"/>
      <c r="G64" s="5"/>
      <c r="H64" s="5"/>
      <c r="I64" s="76"/>
      <c r="J64" s="76"/>
      <c r="K64" s="76"/>
      <c r="L64" s="76"/>
      <c r="M64" s="76"/>
    </row>
    <row r="65" spans="1:13" x14ac:dyDescent="0.25">
      <c r="A65" s="76"/>
      <c r="B65" s="76"/>
      <c r="C65" s="76"/>
      <c r="D65" s="76"/>
      <c r="E65" s="76"/>
      <c r="F65" s="5"/>
      <c r="G65" s="5"/>
      <c r="H65" s="5"/>
      <c r="I65" s="76"/>
      <c r="J65" s="76"/>
      <c r="K65" s="76"/>
      <c r="L65" s="76"/>
      <c r="M65" s="76"/>
    </row>
    <row r="66" spans="1:13" x14ac:dyDescent="0.25">
      <c r="A66" s="76"/>
      <c r="B66" s="76"/>
      <c r="C66" s="76"/>
      <c r="D66" s="76"/>
      <c r="E66" s="76"/>
      <c r="F66" s="5"/>
      <c r="G66" s="5"/>
      <c r="H66" s="5"/>
      <c r="I66" s="76"/>
      <c r="J66" s="76"/>
      <c r="K66" s="76"/>
      <c r="L66" s="76"/>
      <c r="M66" s="76"/>
    </row>
    <row r="67" spans="1:13" x14ac:dyDescent="0.25">
      <c r="A67" s="76"/>
      <c r="B67" s="76"/>
      <c r="C67" s="76"/>
      <c r="D67" s="76"/>
      <c r="E67" s="76"/>
      <c r="F67" s="5"/>
      <c r="G67" s="5"/>
      <c r="H67" s="5"/>
      <c r="I67" s="76"/>
      <c r="J67" s="76"/>
      <c r="K67" s="76"/>
      <c r="L67" s="76"/>
      <c r="M67" s="76"/>
    </row>
    <row r="68" spans="1:13" x14ac:dyDescent="0.25">
      <c r="A68" s="77" t="str">
        <f>UPPER(G22)</f>
        <v>HILARIUS MBUSA</v>
      </c>
      <c r="B68" s="77"/>
      <c r="C68" s="77"/>
      <c r="D68" s="77"/>
      <c r="E68" s="77"/>
      <c r="F68" s="5"/>
      <c r="G68" s="5"/>
      <c r="H68" s="5"/>
      <c r="I68" s="77" t="str">
        <f>UPPER(G14)</f>
        <v>……………………………</v>
      </c>
      <c r="J68" s="77"/>
      <c r="K68" s="77"/>
      <c r="L68" s="77"/>
      <c r="M68" s="77"/>
    </row>
    <row r="69" spans="1:13" x14ac:dyDescent="0.25">
      <c r="A69" s="76" t="str">
        <f>G23</f>
        <v>Direktur</v>
      </c>
      <c r="B69" s="76"/>
      <c r="C69" s="76"/>
      <c r="D69" s="76"/>
      <c r="E69" s="76"/>
      <c r="F69" s="5"/>
      <c r="G69" s="5"/>
      <c r="H69" s="5"/>
      <c r="I69" s="76" t="str">
        <f>G15</f>
        <v>……………………………</v>
      </c>
      <c r="J69" s="76"/>
      <c r="K69" s="76"/>
      <c r="L69" s="76"/>
      <c r="M69" s="76"/>
    </row>
    <row r="70" spans="1:13" x14ac:dyDescent="0.25">
      <c r="A70" s="76"/>
      <c r="B70" s="76"/>
      <c r="C70" s="76"/>
      <c r="D70" s="76"/>
      <c r="E70" s="76"/>
      <c r="F70" s="5"/>
      <c r="G70" s="5"/>
      <c r="H70" s="5"/>
      <c r="I70" s="76"/>
      <c r="J70" s="76"/>
      <c r="K70" s="76"/>
      <c r="L70" s="76"/>
      <c r="M70" s="76"/>
    </row>
    <row r="71" spans="1:13" x14ac:dyDescent="0.25">
      <c r="A71" s="76" t="s">
        <v>84</v>
      </c>
      <c r="B71" s="76"/>
      <c r="C71" s="76"/>
      <c r="D71" s="76"/>
      <c r="E71" s="76"/>
      <c r="F71" s="76"/>
      <c r="G71" s="76"/>
      <c r="H71" s="76"/>
      <c r="I71" s="76"/>
      <c r="J71" s="76"/>
      <c r="K71" s="76"/>
      <c r="L71" s="76"/>
      <c r="M71" s="76"/>
    </row>
    <row r="72" spans="1:13" x14ac:dyDescent="0.25">
      <c r="A72" s="76" t="s">
        <v>85</v>
      </c>
      <c r="B72" s="76"/>
      <c r="C72" s="76"/>
      <c r="D72" s="76"/>
      <c r="E72" s="76"/>
      <c r="F72" s="76"/>
      <c r="G72" s="76"/>
      <c r="H72" s="76"/>
      <c r="I72" s="76"/>
      <c r="J72" s="76"/>
      <c r="K72" s="76"/>
      <c r="L72" s="76"/>
      <c r="M72" s="76"/>
    </row>
    <row r="73" spans="1:13" x14ac:dyDescent="0.25">
      <c r="A73" s="76"/>
      <c r="B73" s="76"/>
      <c r="C73" s="76"/>
      <c r="D73" s="76"/>
      <c r="E73" s="76"/>
      <c r="F73" s="76"/>
      <c r="G73" s="76"/>
      <c r="H73" s="76"/>
      <c r="I73" s="76"/>
      <c r="J73" s="76"/>
      <c r="K73" s="76"/>
      <c r="L73" s="76"/>
      <c r="M73" s="76"/>
    </row>
    <row r="74" spans="1:13" x14ac:dyDescent="0.25">
      <c r="A74" s="76"/>
      <c r="B74" s="76"/>
      <c r="C74" s="76"/>
      <c r="D74" s="76"/>
      <c r="E74" s="76"/>
      <c r="F74" s="76"/>
      <c r="G74" s="76"/>
      <c r="H74" s="76"/>
      <c r="I74" s="76"/>
      <c r="J74" s="76"/>
      <c r="K74" s="76"/>
      <c r="L74" s="76"/>
      <c r="M74" s="76"/>
    </row>
    <row r="75" spans="1:13" x14ac:dyDescent="0.25">
      <c r="A75" s="76"/>
      <c r="B75" s="76"/>
      <c r="C75" s="76"/>
      <c r="D75" s="76"/>
      <c r="E75" s="76"/>
      <c r="F75" s="76"/>
      <c r="G75" s="76"/>
      <c r="H75" s="76"/>
      <c r="I75" s="76"/>
      <c r="J75" s="76"/>
      <c r="K75" s="76"/>
      <c r="L75" s="76"/>
      <c r="M75" s="76"/>
    </row>
    <row r="76" spans="1:13" x14ac:dyDescent="0.25">
      <c r="A76" s="76"/>
      <c r="B76" s="76"/>
      <c r="C76" s="76"/>
      <c r="D76" s="76"/>
      <c r="E76" s="76"/>
      <c r="F76" s="76"/>
      <c r="G76" s="76"/>
      <c r="H76" s="76"/>
      <c r="I76" s="76"/>
      <c r="J76" s="76"/>
      <c r="K76" s="76"/>
      <c r="L76" s="76"/>
      <c r="M76" s="76"/>
    </row>
    <row r="77" spans="1:13" x14ac:dyDescent="0.25">
      <c r="A77" s="77" t="s">
        <v>86</v>
      </c>
      <c r="B77" s="77"/>
      <c r="C77" s="77"/>
      <c r="D77" s="77"/>
      <c r="E77" s="77"/>
      <c r="F77" s="77"/>
      <c r="G77" s="77"/>
      <c r="H77" s="77"/>
      <c r="I77" s="77"/>
      <c r="J77" s="77"/>
      <c r="K77" s="77"/>
      <c r="L77" s="77"/>
      <c r="M77" s="77"/>
    </row>
    <row r="78" spans="1:13" x14ac:dyDescent="0.25">
      <c r="A78" s="76" t="s">
        <v>87</v>
      </c>
      <c r="B78" s="76"/>
      <c r="C78" s="76"/>
      <c r="D78" s="76"/>
      <c r="E78" s="76"/>
      <c r="F78" s="76"/>
      <c r="G78" s="76"/>
      <c r="H78" s="76"/>
      <c r="I78" s="76"/>
      <c r="J78" s="76"/>
      <c r="K78" s="76"/>
      <c r="L78" s="76"/>
      <c r="M78" s="76"/>
    </row>
    <row r="79" spans="1:13" x14ac:dyDescent="0.25">
      <c r="A79" s="75"/>
      <c r="B79" s="75"/>
      <c r="C79" s="75"/>
      <c r="D79" s="75"/>
      <c r="E79" s="75"/>
      <c r="F79" s="75"/>
      <c r="G79" s="75"/>
      <c r="H79" s="75"/>
      <c r="I79" s="75"/>
      <c r="J79" s="75"/>
      <c r="K79" s="75"/>
      <c r="L79" s="75"/>
      <c r="M79" s="75"/>
    </row>
    <row r="80" spans="1:13" x14ac:dyDescent="0.25">
      <c r="A80" s="75"/>
      <c r="B80" s="75"/>
      <c r="C80" s="75"/>
      <c r="D80" s="75"/>
      <c r="E80" s="75"/>
      <c r="F80" s="75"/>
      <c r="G80" s="75"/>
      <c r="H80" s="75"/>
      <c r="I80" s="75"/>
      <c r="J80" s="75"/>
      <c r="K80" s="75"/>
      <c r="L80" s="75"/>
      <c r="M80" s="75"/>
    </row>
    <row r="81" spans="1:13" x14ac:dyDescent="0.25">
      <c r="A81" s="75"/>
      <c r="B81" s="75"/>
      <c r="C81" s="75"/>
      <c r="D81" s="75"/>
      <c r="E81" s="75"/>
      <c r="F81" s="75"/>
      <c r="G81" s="75"/>
      <c r="H81" s="75"/>
      <c r="I81" s="75"/>
      <c r="J81" s="75"/>
      <c r="K81" s="75"/>
      <c r="L81" s="75"/>
      <c r="M81" s="75"/>
    </row>
  </sheetData>
  <mergeCells count="41">
    <mergeCell ref="A60:E60"/>
    <mergeCell ref="B16:M18"/>
    <mergeCell ref="B24:M26"/>
    <mergeCell ref="G20:M21"/>
    <mergeCell ref="A10:M11"/>
    <mergeCell ref="A57:M58"/>
    <mergeCell ref="I60:M60"/>
    <mergeCell ref="I66:M66"/>
    <mergeCell ref="I67:M67"/>
    <mergeCell ref="I68:M68"/>
    <mergeCell ref="A62:E62"/>
    <mergeCell ref="A63:E63"/>
    <mergeCell ref="A64:E64"/>
    <mergeCell ref="A65:E65"/>
    <mergeCell ref="A66:E66"/>
    <mergeCell ref="A67:E67"/>
    <mergeCell ref="I62:M62"/>
    <mergeCell ref="I63:M63"/>
    <mergeCell ref="I64:M64"/>
    <mergeCell ref="I65:M65"/>
    <mergeCell ref="A71:M71"/>
    <mergeCell ref="A72:M72"/>
    <mergeCell ref="A73:M73"/>
    <mergeCell ref="A68:E68"/>
    <mergeCell ref="A69:E69"/>
    <mergeCell ref="A1:M5"/>
    <mergeCell ref="A80:M80"/>
    <mergeCell ref="A81:M81"/>
    <mergeCell ref="A28:M30"/>
    <mergeCell ref="A7:M7"/>
    <mergeCell ref="A8:M8"/>
    <mergeCell ref="A61:E61"/>
    <mergeCell ref="A74:M74"/>
    <mergeCell ref="A75:M75"/>
    <mergeCell ref="A76:M76"/>
    <mergeCell ref="A77:M77"/>
    <mergeCell ref="A78:M78"/>
    <mergeCell ref="A79:M79"/>
    <mergeCell ref="I69:M69"/>
    <mergeCell ref="I70:M70"/>
    <mergeCell ref="A70:E70"/>
  </mergeCells>
  <pageMargins left="0.7" right="0.7" top="0.75" bottom="0.75" header="0.3" footer="0.3"/>
  <pageSetup paperSize="9" scale="90" orientation="portrait" horizontalDpi="4294967293" verticalDpi="36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81"/>
  <sheetViews>
    <sheetView view="pageBreakPreview" zoomScaleNormal="160" zoomScaleSheetLayoutView="100" workbookViewId="0">
      <selection activeCell="E12" sqref="E12"/>
    </sheetView>
  </sheetViews>
  <sheetFormatPr defaultRowHeight="15" x14ac:dyDescent="0.25"/>
  <cols>
    <col min="1" max="1" width="3.28515625" customWidth="1"/>
    <col min="2" max="2" width="3.140625" customWidth="1"/>
    <col min="3" max="3" width="4.42578125" customWidth="1"/>
    <col min="4" max="4" width="3.140625" customWidth="1"/>
    <col min="5" max="5" width="24.7109375" customWidth="1"/>
    <col min="6" max="6" width="3.28515625" customWidth="1"/>
    <col min="7" max="7" width="10" customWidth="1"/>
    <col min="8" max="8" width="4.85546875" customWidth="1"/>
    <col min="9" max="9" width="5.5703125" customWidth="1"/>
    <col min="10" max="10" width="10.42578125" customWidth="1"/>
    <col min="11" max="11" width="5.42578125" customWidth="1"/>
  </cols>
  <sheetData>
    <row r="1" spans="1:13" x14ac:dyDescent="0.25">
      <c r="A1" s="79"/>
      <c r="B1" s="79"/>
      <c r="C1" s="79"/>
      <c r="D1" s="79"/>
      <c r="E1" s="79"/>
      <c r="F1" s="79"/>
      <c r="G1" s="79"/>
      <c r="H1" s="79"/>
      <c r="I1" s="79"/>
      <c r="J1" s="79"/>
      <c r="K1" s="79"/>
      <c r="L1" s="79"/>
      <c r="M1" s="79"/>
    </row>
    <row r="2" spans="1:13" x14ac:dyDescent="0.25">
      <c r="A2" s="79"/>
      <c r="B2" s="79"/>
      <c r="C2" s="79"/>
      <c r="D2" s="79"/>
      <c r="E2" s="79"/>
      <c r="F2" s="79"/>
      <c r="G2" s="79"/>
      <c r="H2" s="79"/>
      <c r="I2" s="79"/>
      <c r="J2" s="79"/>
      <c r="K2" s="79"/>
      <c r="L2" s="79"/>
      <c r="M2" s="79"/>
    </row>
    <row r="3" spans="1:13" x14ac:dyDescent="0.25">
      <c r="A3" s="79"/>
      <c r="B3" s="79"/>
      <c r="C3" s="79"/>
      <c r="D3" s="79"/>
      <c r="E3" s="79"/>
      <c r="F3" s="79"/>
      <c r="G3" s="79"/>
      <c r="H3" s="79"/>
      <c r="I3" s="79"/>
      <c r="J3" s="79"/>
      <c r="K3" s="79"/>
      <c r="L3" s="79"/>
      <c r="M3" s="79"/>
    </row>
    <row r="4" spans="1:13" x14ac:dyDescent="0.25">
      <c r="A4" s="79"/>
      <c r="B4" s="79"/>
      <c r="C4" s="79"/>
      <c r="D4" s="79"/>
      <c r="E4" s="79"/>
      <c r="F4" s="79"/>
      <c r="G4" s="79"/>
      <c r="H4" s="79"/>
      <c r="I4" s="79"/>
      <c r="J4" s="79"/>
      <c r="K4" s="79"/>
      <c r="L4" s="79"/>
      <c r="M4" s="79"/>
    </row>
    <row r="5" spans="1:13" ht="36" customHeight="1" x14ac:dyDescent="0.25">
      <c r="A5" s="79"/>
      <c r="B5" s="79"/>
      <c r="C5" s="79"/>
      <c r="D5" s="79"/>
      <c r="E5" s="79"/>
      <c r="F5" s="79"/>
      <c r="G5" s="79"/>
      <c r="H5" s="79"/>
      <c r="I5" s="79"/>
      <c r="J5" s="79"/>
      <c r="K5" s="79"/>
      <c r="L5" s="79"/>
      <c r="M5" s="79"/>
    </row>
    <row r="6" spans="1:13" ht="9.75" customHeight="1" x14ac:dyDescent="0.25"/>
    <row r="7" spans="1:13" x14ac:dyDescent="0.25">
      <c r="A7" s="77" t="s">
        <v>37</v>
      </c>
      <c r="B7" s="77"/>
      <c r="C7" s="77"/>
      <c r="D7" s="77"/>
      <c r="E7" s="77"/>
      <c r="F7" s="77"/>
      <c r="G7" s="77"/>
      <c r="H7" s="77"/>
      <c r="I7" s="77"/>
      <c r="J7" s="77"/>
      <c r="K7" s="77"/>
      <c r="L7" s="77"/>
      <c r="M7" s="77"/>
    </row>
    <row r="8" spans="1:13" x14ac:dyDescent="0.25">
      <c r="A8" s="76" t="s">
        <v>88</v>
      </c>
      <c r="B8" s="76"/>
      <c r="C8" s="76"/>
      <c r="D8" s="76"/>
      <c r="E8" s="76"/>
      <c r="F8" s="76"/>
      <c r="G8" s="76"/>
      <c r="H8" s="76"/>
      <c r="I8" s="76"/>
      <c r="J8" s="76"/>
      <c r="K8" s="76"/>
      <c r="L8" s="76"/>
      <c r="M8" s="76"/>
    </row>
    <row r="10" spans="1:13" x14ac:dyDescent="0.25">
      <c r="A10" s="67" t="s">
        <v>38</v>
      </c>
      <c r="B10" s="67"/>
      <c r="C10" s="67"/>
      <c r="D10" s="67"/>
      <c r="E10" s="67"/>
      <c r="F10" s="67"/>
      <c r="G10" s="67"/>
      <c r="H10" s="67"/>
      <c r="I10" s="67"/>
      <c r="J10" s="67"/>
      <c r="K10" s="67"/>
      <c r="L10" s="67"/>
      <c r="M10" s="67"/>
    </row>
    <row r="11" spans="1:13" x14ac:dyDescent="0.25">
      <c r="A11" s="67"/>
      <c r="B11" s="67"/>
      <c r="C11" s="67"/>
      <c r="D11" s="67"/>
      <c r="E11" s="67"/>
      <c r="F11" s="67"/>
      <c r="G11" s="67"/>
      <c r="H11" s="67"/>
      <c r="I11" s="67"/>
      <c r="J11" s="67"/>
      <c r="K11" s="67"/>
      <c r="L11" s="67"/>
      <c r="M11" s="67"/>
    </row>
    <row r="12" spans="1:13" x14ac:dyDescent="0.25">
      <c r="A12" t="s">
        <v>39</v>
      </c>
      <c r="B12" t="s">
        <v>40</v>
      </c>
      <c r="F12" t="s">
        <v>15</v>
      </c>
      <c r="G12" t="s">
        <v>83</v>
      </c>
    </row>
    <row r="13" spans="1:13" x14ac:dyDescent="0.25">
      <c r="B13" t="s">
        <v>41</v>
      </c>
      <c r="F13" t="s">
        <v>15</v>
      </c>
      <c r="G13" t="s">
        <v>83</v>
      </c>
    </row>
    <row r="14" spans="1:13" x14ac:dyDescent="0.25">
      <c r="B14" t="s">
        <v>42</v>
      </c>
      <c r="F14" t="s">
        <v>15</v>
      </c>
      <c r="G14" t="s">
        <v>83</v>
      </c>
    </row>
    <row r="15" spans="1:13" x14ac:dyDescent="0.25">
      <c r="B15" t="s">
        <v>43</v>
      </c>
      <c r="F15" t="s">
        <v>15</v>
      </c>
      <c r="G15" t="s">
        <v>83</v>
      </c>
    </row>
    <row r="16" spans="1:13" x14ac:dyDescent="0.25">
      <c r="B16" s="67" t="s">
        <v>45</v>
      </c>
      <c r="C16" s="67"/>
      <c r="D16" s="67"/>
      <c r="E16" s="67"/>
      <c r="F16" s="67"/>
      <c r="G16" s="67"/>
      <c r="H16" s="67"/>
      <c r="I16" s="67"/>
      <c r="J16" s="67"/>
      <c r="K16" s="67"/>
      <c r="L16" s="67"/>
      <c r="M16" s="67"/>
    </row>
    <row r="17" spans="1:13" x14ac:dyDescent="0.25">
      <c r="B17" s="67"/>
      <c r="C17" s="67"/>
      <c r="D17" s="67"/>
      <c r="E17" s="67"/>
      <c r="F17" s="67"/>
      <c r="G17" s="67"/>
      <c r="H17" s="67"/>
      <c r="I17" s="67"/>
      <c r="J17" s="67"/>
      <c r="K17" s="67"/>
      <c r="L17" s="67"/>
      <c r="M17" s="67"/>
    </row>
    <row r="18" spans="1:13" x14ac:dyDescent="0.25">
      <c r="B18" s="67"/>
      <c r="C18" s="67"/>
      <c r="D18" s="67"/>
      <c r="E18" s="67"/>
      <c r="F18" s="67"/>
      <c r="G18" s="67"/>
      <c r="H18" s="67"/>
      <c r="I18" s="67"/>
      <c r="J18" s="67"/>
      <c r="K18" s="67"/>
      <c r="L18" s="67"/>
      <c r="M18" s="67"/>
    </row>
    <row r="19" spans="1:13" x14ac:dyDescent="0.25">
      <c r="A19" t="s">
        <v>44</v>
      </c>
      <c r="B19" t="s">
        <v>40</v>
      </c>
      <c r="F19" t="s">
        <v>15</v>
      </c>
      <c r="G19" t="s">
        <v>31</v>
      </c>
    </row>
    <row r="20" spans="1:13" x14ac:dyDescent="0.25">
      <c r="B20" t="s">
        <v>41</v>
      </c>
      <c r="F20" t="s">
        <v>15</v>
      </c>
      <c r="G20" s="67" t="s">
        <v>161</v>
      </c>
      <c r="H20" s="67"/>
      <c r="I20" s="67"/>
      <c r="J20" s="67"/>
      <c r="K20" s="67"/>
      <c r="L20" s="67"/>
      <c r="M20" s="67"/>
    </row>
    <row r="21" spans="1:13" x14ac:dyDescent="0.25">
      <c r="G21" s="67"/>
      <c r="H21" s="67"/>
      <c r="I21" s="67"/>
      <c r="J21" s="67"/>
      <c r="K21" s="67"/>
      <c r="L21" s="67"/>
      <c r="M21" s="67"/>
    </row>
    <row r="22" spans="1:13" x14ac:dyDescent="0.25">
      <c r="B22" t="s">
        <v>42</v>
      </c>
      <c r="F22" t="s">
        <v>15</v>
      </c>
      <c r="G22" t="s">
        <v>47</v>
      </c>
    </row>
    <row r="23" spans="1:13" x14ac:dyDescent="0.25">
      <c r="B23" t="s">
        <v>43</v>
      </c>
      <c r="F23" t="s">
        <v>15</v>
      </c>
      <c r="G23" t="s">
        <v>48</v>
      </c>
    </row>
    <row r="24" spans="1:13" x14ac:dyDescent="0.25">
      <c r="B24" s="67" t="s">
        <v>46</v>
      </c>
      <c r="C24" s="67"/>
      <c r="D24" s="67"/>
      <c r="E24" s="67"/>
      <c r="F24" s="67"/>
      <c r="G24" s="67"/>
      <c r="H24" s="67"/>
      <c r="I24" s="67"/>
      <c r="J24" s="67"/>
      <c r="K24" s="67"/>
      <c r="L24" s="67"/>
      <c r="M24" s="67"/>
    </row>
    <row r="25" spans="1:13" x14ac:dyDescent="0.25">
      <c r="B25" s="67"/>
      <c r="C25" s="67"/>
      <c r="D25" s="67"/>
      <c r="E25" s="67"/>
      <c r="F25" s="67"/>
      <c r="G25" s="67"/>
      <c r="H25" s="67"/>
      <c r="I25" s="67"/>
      <c r="J25" s="67"/>
      <c r="K25" s="67"/>
      <c r="L25" s="67"/>
      <c r="M25" s="67"/>
    </row>
    <row r="26" spans="1:13" x14ac:dyDescent="0.25">
      <c r="B26" s="67"/>
      <c r="C26" s="67"/>
      <c r="D26" s="67"/>
      <c r="E26" s="67"/>
      <c r="F26" s="67"/>
      <c r="G26" s="67"/>
      <c r="H26" s="67"/>
      <c r="I26" s="67"/>
      <c r="J26" s="67"/>
      <c r="K26" s="67"/>
      <c r="L26" s="67"/>
      <c r="M26" s="67"/>
    </row>
    <row r="28" spans="1:13" x14ac:dyDescent="0.25">
      <c r="A28" s="67" t="s">
        <v>49</v>
      </c>
      <c r="B28" s="67"/>
      <c r="C28" s="67"/>
      <c r="D28" s="67"/>
      <c r="E28" s="67"/>
      <c r="F28" s="67"/>
      <c r="G28" s="67"/>
      <c r="H28" s="67"/>
      <c r="I28" s="67"/>
      <c r="J28" s="67"/>
      <c r="K28" s="67"/>
      <c r="L28" s="67"/>
      <c r="M28" s="67"/>
    </row>
    <row r="29" spans="1:13" x14ac:dyDescent="0.25">
      <c r="A29" s="67"/>
      <c r="B29" s="67"/>
      <c r="C29" s="67"/>
      <c r="D29" s="67"/>
      <c r="E29" s="67"/>
      <c r="F29" s="67"/>
      <c r="G29" s="67"/>
      <c r="H29" s="67"/>
      <c r="I29" s="67"/>
      <c r="J29" s="67"/>
      <c r="K29" s="67"/>
      <c r="L29" s="67"/>
      <c r="M29" s="67"/>
    </row>
    <row r="30" spans="1:13" x14ac:dyDescent="0.25">
      <c r="A30" s="67"/>
      <c r="B30" s="67"/>
      <c r="C30" s="67"/>
      <c r="D30" s="67"/>
      <c r="E30" s="67"/>
      <c r="F30" s="67"/>
      <c r="G30" s="67"/>
      <c r="H30" s="67"/>
      <c r="I30" s="67"/>
      <c r="J30" s="67"/>
      <c r="K30" s="67"/>
      <c r="L30" s="67"/>
      <c r="M30" s="67"/>
    </row>
    <row r="31" spans="1:13" x14ac:dyDescent="0.25">
      <c r="B31" t="s">
        <v>50</v>
      </c>
      <c r="C31" t="s">
        <v>5</v>
      </c>
    </row>
    <row r="32" spans="1:13" x14ac:dyDescent="0.25">
      <c r="B32" t="s">
        <v>51</v>
      </c>
      <c r="C32" t="s">
        <v>52</v>
      </c>
    </row>
    <row r="33" spans="2:11" x14ac:dyDescent="0.25">
      <c r="B33" t="s">
        <v>53</v>
      </c>
      <c r="C33" t="s">
        <v>54</v>
      </c>
    </row>
    <row r="34" spans="2:11" x14ac:dyDescent="0.25">
      <c r="B34" t="s">
        <v>55</v>
      </c>
      <c r="C34" t="s">
        <v>56</v>
      </c>
    </row>
    <row r="35" spans="2:11" x14ac:dyDescent="0.25">
      <c r="B35" t="s">
        <v>57</v>
      </c>
      <c r="C35" t="s">
        <v>58</v>
      </c>
    </row>
    <row r="36" spans="2:11" x14ac:dyDescent="0.25">
      <c r="B36" t="s">
        <v>59</v>
      </c>
      <c r="C36" t="s">
        <v>60</v>
      </c>
    </row>
    <row r="37" spans="2:11" x14ac:dyDescent="0.25">
      <c r="B37" t="s">
        <v>61</v>
      </c>
      <c r="C37" t="s">
        <v>62</v>
      </c>
    </row>
    <row r="38" spans="2:11" x14ac:dyDescent="0.25">
      <c r="C38" t="s">
        <v>63</v>
      </c>
      <c r="D38" t="s">
        <v>64</v>
      </c>
    </row>
    <row r="39" spans="2:11" x14ac:dyDescent="0.25">
      <c r="D39" t="s">
        <v>65</v>
      </c>
      <c r="E39" t="s">
        <v>66</v>
      </c>
      <c r="F39" t="s">
        <v>15</v>
      </c>
      <c r="G39" s="6">
        <f>50000-G41</f>
        <v>48500</v>
      </c>
      <c r="H39" t="s">
        <v>69</v>
      </c>
      <c r="I39" s="5" t="s">
        <v>70</v>
      </c>
      <c r="J39" s="6">
        <f>G39/25</f>
        <v>1940</v>
      </c>
      <c r="K39" t="s">
        <v>71</v>
      </c>
    </row>
    <row r="40" spans="2:11" x14ac:dyDescent="0.25">
      <c r="D40" t="s">
        <v>65</v>
      </c>
      <c r="E40" t="s">
        <v>67</v>
      </c>
      <c r="F40" t="s">
        <v>15</v>
      </c>
      <c r="G40" s="6">
        <v>0</v>
      </c>
      <c r="H40" t="s">
        <v>69</v>
      </c>
      <c r="I40" s="5" t="s">
        <v>70</v>
      </c>
      <c r="J40" s="6">
        <f>G40/25</f>
        <v>0</v>
      </c>
      <c r="K40" t="s">
        <v>71</v>
      </c>
    </row>
    <row r="41" spans="2:11" x14ac:dyDescent="0.25">
      <c r="D41" t="s">
        <v>65</v>
      </c>
      <c r="E41" t="s">
        <v>68</v>
      </c>
      <c r="F41" t="s">
        <v>15</v>
      </c>
      <c r="G41" s="6">
        <v>1500</v>
      </c>
      <c r="H41" t="s">
        <v>69</v>
      </c>
      <c r="I41" s="5" t="s">
        <v>70</v>
      </c>
      <c r="J41" s="6">
        <f>G41/25</f>
        <v>60</v>
      </c>
      <c r="K41" t="s">
        <v>71</v>
      </c>
    </row>
    <row r="42" spans="2:11" x14ac:dyDescent="0.25">
      <c r="D42" t="s">
        <v>65</v>
      </c>
      <c r="E42" t="s">
        <v>89</v>
      </c>
      <c r="F42" t="s">
        <v>15</v>
      </c>
      <c r="G42" s="6"/>
      <c r="H42" t="s">
        <v>69</v>
      </c>
      <c r="I42" s="5" t="s">
        <v>70</v>
      </c>
      <c r="J42" s="6"/>
      <c r="K42" t="s">
        <v>71</v>
      </c>
    </row>
    <row r="43" spans="2:11" x14ac:dyDescent="0.25">
      <c r="D43" s="8"/>
      <c r="E43" s="9" t="s">
        <v>73</v>
      </c>
      <c r="F43" s="9" t="s">
        <v>15</v>
      </c>
      <c r="G43" s="10">
        <f>SUM(G39:G42)</f>
        <v>50000</v>
      </c>
      <c r="H43" s="9" t="s">
        <v>69</v>
      </c>
      <c r="I43" s="11" t="s">
        <v>70</v>
      </c>
      <c r="J43" s="10">
        <f>SUM(J39:J42)</f>
        <v>2000</v>
      </c>
      <c r="K43" s="9" t="s">
        <v>71</v>
      </c>
    </row>
    <row r="44" spans="2:11" x14ac:dyDescent="0.25">
      <c r="D44" t="s">
        <v>65</v>
      </c>
      <c r="E44" t="s">
        <v>74</v>
      </c>
      <c r="F44" t="s">
        <v>15</v>
      </c>
      <c r="G44" s="6">
        <v>0</v>
      </c>
      <c r="H44" t="s">
        <v>69</v>
      </c>
      <c r="I44" s="7" t="s">
        <v>70</v>
      </c>
      <c r="J44" s="6">
        <v>0</v>
      </c>
      <c r="K44" t="s">
        <v>71</v>
      </c>
    </row>
    <row r="45" spans="2:11" x14ac:dyDescent="0.25">
      <c r="D45" t="s">
        <v>65</v>
      </c>
      <c r="E45" t="s">
        <v>75</v>
      </c>
      <c r="F45" t="s">
        <v>15</v>
      </c>
      <c r="G45" s="6">
        <v>0</v>
      </c>
      <c r="H45" t="s">
        <v>69</v>
      </c>
      <c r="I45" s="7" t="s">
        <v>70</v>
      </c>
      <c r="J45" s="6">
        <v>0</v>
      </c>
      <c r="K45" t="s">
        <v>71</v>
      </c>
    </row>
    <row r="46" spans="2:11" x14ac:dyDescent="0.25">
      <c r="D46" s="8"/>
      <c r="E46" s="9" t="s">
        <v>72</v>
      </c>
      <c r="F46" s="9"/>
      <c r="G46" s="10">
        <f>SUM(G44:G45)</f>
        <v>0</v>
      </c>
      <c r="H46" s="9" t="s">
        <v>69</v>
      </c>
      <c r="I46" s="11" t="s">
        <v>70</v>
      </c>
      <c r="J46" s="10">
        <f>SUM(J44:J45)</f>
        <v>0</v>
      </c>
      <c r="K46" s="9" t="s">
        <v>71</v>
      </c>
    </row>
    <row r="48" spans="2:11" x14ac:dyDescent="0.25">
      <c r="C48" t="s">
        <v>76</v>
      </c>
      <c r="D48" t="s">
        <v>77</v>
      </c>
    </row>
    <row r="49" spans="1:13" x14ac:dyDescent="0.25">
      <c r="D49" t="s">
        <v>65</v>
      </c>
      <c r="E49" t="s">
        <v>78</v>
      </c>
      <c r="I49" s="7" t="s">
        <v>70</v>
      </c>
      <c r="J49" s="6">
        <v>0</v>
      </c>
      <c r="K49" t="s">
        <v>79</v>
      </c>
    </row>
    <row r="50" spans="1:13" x14ac:dyDescent="0.25">
      <c r="D50" t="s">
        <v>65</v>
      </c>
      <c r="E50" t="s">
        <v>62</v>
      </c>
      <c r="I50" s="7" t="s">
        <v>70</v>
      </c>
      <c r="J50" s="6">
        <v>250</v>
      </c>
      <c r="K50" t="s">
        <v>79</v>
      </c>
    </row>
    <row r="58" spans="1:13" x14ac:dyDescent="0.25">
      <c r="A58" s="67" t="s">
        <v>80</v>
      </c>
      <c r="B58" s="67"/>
      <c r="C58" s="67"/>
      <c r="D58" s="67"/>
      <c r="E58" s="67"/>
      <c r="F58" s="67"/>
      <c r="G58" s="67"/>
      <c r="H58" s="67"/>
      <c r="I58" s="67"/>
      <c r="J58" s="67"/>
      <c r="K58" s="67"/>
      <c r="L58" s="67"/>
      <c r="M58" s="67"/>
    </row>
    <row r="59" spans="1:13" x14ac:dyDescent="0.25">
      <c r="A59" s="67"/>
      <c r="B59" s="67"/>
      <c r="C59" s="67"/>
      <c r="D59" s="67"/>
      <c r="E59" s="67"/>
      <c r="F59" s="67"/>
      <c r="G59" s="67"/>
      <c r="H59" s="67"/>
      <c r="I59" s="67"/>
      <c r="J59" s="67"/>
      <c r="K59" s="67"/>
      <c r="L59" s="67"/>
      <c r="M59" s="67"/>
    </row>
    <row r="61" spans="1:13" x14ac:dyDescent="0.25">
      <c r="A61" s="76" t="s">
        <v>81</v>
      </c>
      <c r="B61" s="76"/>
      <c r="C61" s="76"/>
      <c r="D61" s="76"/>
      <c r="E61" s="76"/>
      <c r="F61" s="5"/>
      <c r="G61" s="5"/>
      <c r="H61" s="5"/>
      <c r="I61" s="76" t="s">
        <v>82</v>
      </c>
      <c r="J61" s="76"/>
      <c r="K61" s="76"/>
      <c r="L61" s="76"/>
      <c r="M61" s="76"/>
    </row>
    <row r="62" spans="1:13" x14ac:dyDescent="0.25">
      <c r="A62" s="76" t="str">
        <f>G12</f>
        <v>……………………………</v>
      </c>
      <c r="B62" s="76"/>
      <c r="C62" s="76"/>
      <c r="D62" s="76"/>
      <c r="E62" s="76"/>
      <c r="F62" s="5"/>
      <c r="G62" s="5"/>
      <c r="H62" s="5"/>
      <c r="I62" s="76" t="s">
        <v>91</v>
      </c>
      <c r="J62" s="76"/>
      <c r="K62" s="76"/>
      <c r="L62" s="76"/>
      <c r="M62" s="76"/>
    </row>
    <row r="63" spans="1:13" x14ac:dyDescent="0.25">
      <c r="A63" s="76"/>
      <c r="B63" s="76"/>
      <c r="C63" s="76"/>
      <c r="D63" s="76"/>
      <c r="E63" s="76"/>
      <c r="F63" s="5"/>
      <c r="G63" s="5"/>
      <c r="H63" s="5"/>
      <c r="I63" s="76" t="str">
        <f>G19</f>
        <v>PT. EMKA JAYA UTAMA</v>
      </c>
      <c r="J63" s="76"/>
      <c r="K63" s="76"/>
      <c r="L63" s="76"/>
      <c r="M63" s="76"/>
    </row>
    <row r="64" spans="1:13" x14ac:dyDescent="0.25">
      <c r="A64" s="76"/>
      <c r="B64" s="76"/>
      <c r="C64" s="76"/>
      <c r="D64" s="76"/>
      <c r="E64" s="76"/>
      <c r="F64" s="5"/>
      <c r="G64" s="5"/>
      <c r="H64" s="5"/>
      <c r="I64" s="76"/>
      <c r="J64" s="76"/>
      <c r="K64" s="76"/>
      <c r="L64" s="76"/>
      <c r="M64" s="76"/>
    </row>
    <row r="65" spans="1:13" x14ac:dyDescent="0.25">
      <c r="A65" s="76"/>
      <c r="B65" s="76"/>
      <c r="C65" s="76"/>
      <c r="D65" s="76"/>
      <c r="E65" s="76"/>
      <c r="F65" s="5"/>
      <c r="G65" s="5"/>
      <c r="H65" s="5"/>
      <c r="I65" s="76"/>
      <c r="J65" s="76"/>
      <c r="K65" s="76"/>
      <c r="L65" s="76"/>
      <c r="M65" s="76"/>
    </row>
    <row r="66" spans="1:13" x14ac:dyDescent="0.25">
      <c r="A66" s="76"/>
      <c r="B66" s="76"/>
      <c r="C66" s="76"/>
      <c r="D66" s="76"/>
      <c r="E66" s="76"/>
      <c r="F66" s="5"/>
      <c r="G66" s="5"/>
      <c r="H66" s="5"/>
      <c r="I66" s="76"/>
      <c r="J66" s="76"/>
      <c r="K66" s="76"/>
      <c r="L66" s="76"/>
      <c r="M66" s="76"/>
    </row>
    <row r="67" spans="1:13" x14ac:dyDescent="0.25">
      <c r="A67" s="76"/>
      <c r="B67" s="76"/>
      <c r="C67" s="76"/>
      <c r="D67" s="76"/>
      <c r="E67" s="76"/>
      <c r="F67" s="5"/>
      <c r="G67" s="5"/>
      <c r="H67" s="5"/>
      <c r="I67" s="76"/>
      <c r="J67" s="76"/>
      <c r="K67" s="76"/>
      <c r="L67" s="76"/>
      <c r="M67" s="76"/>
    </row>
    <row r="68" spans="1:13" x14ac:dyDescent="0.25">
      <c r="A68" s="77" t="str">
        <f>UPPER(G14)</f>
        <v>……………………………</v>
      </c>
      <c r="B68" s="77"/>
      <c r="C68" s="77"/>
      <c r="D68" s="77"/>
      <c r="E68" s="77"/>
      <c r="F68" s="5"/>
      <c r="G68" s="5"/>
      <c r="H68" s="5"/>
      <c r="I68" s="77" t="str">
        <f>UPPER(G22)</f>
        <v>HILARIUS MBUSA</v>
      </c>
      <c r="J68" s="77"/>
      <c r="K68" s="77"/>
      <c r="L68" s="77"/>
      <c r="M68" s="77"/>
    </row>
    <row r="69" spans="1:13" x14ac:dyDescent="0.25">
      <c r="A69" s="76" t="str">
        <f>G15</f>
        <v>……………………………</v>
      </c>
      <c r="B69" s="76"/>
      <c r="C69" s="76"/>
      <c r="D69" s="76"/>
      <c r="E69" s="76"/>
      <c r="F69" s="5"/>
      <c r="G69" s="5"/>
      <c r="H69" s="5"/>
      <c r="I69" s="76" t="str">
        <f>G23</f>
        <v>Direktur</v>
      </c>
      <c r="J69" s="76"/>
      <c r="K69" s="76"/>
      <c r="L69" s="76"/>
      <c r="M69" s="76"/>
    </row>
    <row r="70" spans="1:13" x14ac:dyDescent="0.25">
      <c r="A70" s="76"/>
      <c r="B70" s="76"/>
      <c r="C70" s="76"/>
      <c r="D70" s="76"/>
      <c r="E70" s="76"/>
      <c r="F70" s="5"/>
      <c r="G70" s="5"/>
      <c r="H70" s="5"/>
      <c r="I70" s="76"/>
      <c r="J70" s="76"/>
      <c r="K70" s="76"/>
      <c r="L70" s="76"/>
      <c r="M70" s="76"/>
    </row>
    <row r="71" spans="1:13" x14ac:dyDescent="0.25">
      <c r="A71" s="76"/>
      <c r="B71" s="76"/>
      <c r="C71" s="76"/>
      <c r="D71" s="76"/>
      <c r="E71" s="76"/>
      <c r="F71" s="76"/>
      <c r="G71" s="76"/>
      <c r="H71" s="76"/>
      <c r="I71" s="76"/>
      <c r="J71" s="76"/>
      <c r="K71" s="76"/>
      <c r="L71" s="76"/>
      <c r="M71" s="76"/>
    </row>
    <row r="72" spans="1:13" x14ac:dyDescent="0.25">
      <c r="A72" s="76"/>
      <c r="B72" s="76"/>
      <c r="C72" s="76"/>
      <c r="D72" s="76"/>
      <c r="E72" s="76"/>
      <c r="F72" s="76"/>
      <c r="G72" s="76"/>
      <c r="H72" s="76"/>
      <c r="I72" s="76"/>
      <c r="J72" s="76"/>
      <c r="K72" s="76"/>
      <c r="L72" s="76"/>
      <c r="M72" s="76"/>
    </row>
    <row r="73" spans="1:13" x14ac:dyDescent="0.25">
      <c r="A73" s="76"/>
      <c r="B73" s="76"/>
      <c r="C73" s="76"/>
      <c r="D73" s="76"/>
      <c r="E73" s="76"/>
      <c r="F73" s="76"/>
      <c r="G73" s="76"/>
      <c r="H73" s="76"/>
      <c r="I73" s="76"/>
      <c r="J73" s="76"/>
      <c r="K73" s="76"/>
      <c r="L73" s="76"/>
      <c r="M73" s="76"/>
    </row>
    <row r="74" spans="1:13" x14ac:dyDescent="0.25">
      <c r="A74" s="76"/>
      <c r="B74" s="76"/>
      <c r="C74" s="76"/>
      <c r="D74" s="76"/>
      <c r="E74" s="76"/>
      <c r="F74" s="76"/>
      <c r="G74" s="76"/>
      <c r="H74" s="76"/>
      <c r="I74" s="76"/>
      <c r="J74" s="76"/>
      <c r="K74" s="76"/>
      <c r="L74" s="76"/>
      <c r="M74" s="76"/>
    </row>
    <row r="75" spans="1:13" x14ac:dyDescent="0.25">
      <c r="A75" s="76"/>
      <c r="B75" s="76"/>
      <c r="C75" s="76"/>
      <c r="D75" s="76"/>
      <c r="E75" s="76"/>
      <c r="F75" s="76"/>
      <c r="G75" s="76"/>
      <c r="H75" s="76"/>
      <c r="I75" s="76"/>
      <c r="J75" s="76"/>
      <c r="K75" s="76"/>
      <c r="L75" s="76"/>
      <c r="M75" s="76"/>
    </row>
    <row r="76" spans="1:13" x14ac:dyDescent="0.25">
      <c r="A76" s="76"/>
      <c r="B76" s="76"/>
      <c r="C76" s="76"/>
      <c r="D76" s="76"/>
      <c r="E76" s="76"/>
      <c r="F76" s="76"/>
      <c r="G76" s="76"/>
      <c r="H76" s="76"/>
      <c r="I76" s="76"/>
      <c r="J76" s="76"/>
      <c r="K76" s="76"/>
      <c r="L76" s="76"/>
      <c r="M76" s="76"/>
    </row>
    <row r="77" spans="1:13" x14ac:dyDescent="0.25">
      <c r="A77" s="77"/>
      <c r="B77" s="77"/>
      <c r="C77" s="77"/>
      <c r="D77" s="77"/>
      <c r="E77" s="77"/>
      <c r="F77" s="77"/>
      <c r="G77" s="77"/>
      <c r="H77" s="77"/>
      <c r="I77" s="77"/>
      <c r="J77" s="77"/>
      <c r="K77" s="77"/>
      <c r="L77" s="77"/>
      <c r="M77" s="77"/>
    </row>
    <row r="78" spans="1:13" x14ac:dyDescent="0.25">
      <c r="A78" s="76"/>
      <c r="B78" s="76"/>
      <c r="C78" s="76"/>
      <c r="D78" s="76"/>
      <c r="E78" s="76"/>
      <c r="F78" s="76"/>
      <c r="G78" s="76"/>
      <c r="H78" s="76"/>
      <c r="I78" s="76"/>
      <c r="J78" s="76"/>
      <c r="K78" s="76"/>
      <c r="L78" s="76"/>
      <c r="M78" s="76"/>
    </row>
    <row r="79" spans="1:13" x14ac:dyDescent="0.25">
      <c r="A79" s="75"/>
      <c r="B79" s="75"/>
      <c r="C79" s="75"/>
      <c r="D79" s="75"/>
      <c r="E79" s="75"/>
      <c r="F79" s="75"/>
      <c r="G79" s="75"/>
      <c r="H79" s="75"/>
      <c r="I79" s="75"/>
      <c r="J79" s="75"/>
      <c r="K79" s="75"/>
      <c r="L79" s="75"/>
      <c r="M79" s="75"/>
    </row>
    <row r="80" spans="1:13" x14ac:dyDescent="0.25">
      <c r="A80" s="75"/>
      <c r="B80" s="75"/>
      <c r="C80" s="75"/>
      <c r="D80" s="75"/>
      <c r="E80" s="75"/>
      <c r="F80" s="75"/>
      <c r="G80" s="75"/>
      <c r="H80" s="75"/>
      <c r="I80" s="75"/>
      <c r="J80" s="75"/>
      <c r="K80" s="75"/>
      <c r="L80" s="75"/>
      <c r="M80" s="75"/>
    </row>
    <row r="81" spans="1:13" x14ac:dyDescent="0.25">
      <c r="A81" s="75"/>
      <c r="B81" s="75"/>
      <c r="C81" s="75"/>
      <c r="D81" s="75"/>
      <c r="E81" s="75"/>
      <c r="F81" s="75"/>
      <c r="G81" s="75"/>
      <c r="H81" s="75"/>
      <c r="I81" s="75"/>
      <c r="J81" s="75"/>
      <c r="K81" s="75"/>
      <c r="L81" s="75"/>
      <c r="M81" s="75"/>
    </row>
  </sheetData>
  <mergeCells count="40">
    <mergeCell ref="B24:M26"/>
    <mergeCell ref="A7:M7"/>
    <mergeCell ref="A8:M8"/>
    <mergeCell ref="A10:M11"/>
    <mergeCell ref="B16:M18"/>
    <mergeCell ref="G20:M21"/>
    <mergeCell ref="A28:M30"/>
    <mergeCell ref="A58:M59"/>
    <mergeCell ref="A61:E61"/>
    <mergeCell ref="I61:M61"/>
    <mergeCell ref="A62:E62"/>
    <mergeCell ref="I62:M62"/>
    <mergeCell ref="A63:E63"/>
    <mergeCell ref="I63:M63"/>
    <mergeCell ref="A64:E64"/>
    <mergeCell ref="I64:M64"/>
    <mergeCell ref="A65:E65"/>
    <mergeCell ref="I65:M65"/>
    <mergeCell ref="A66:E66"/>
    <mergeCell ref="I66:M66"/>
    <mergeCell ref="A67:E67"/>
    <mergeCell ref="I67:M67"/>
    <mergeCell ref="A68:E68"/>
    <mergeCell ref="I68:M68"/>
    <mergeCell ref="A79:M79"/>
    <mergeCell ref="A80:M80"/>
    <mergeCell ref="A81:M81"/>
    <mergeCell ref="A1:M5"/>
    <mergeCell ref="A73:M73"/>
    <mergeCell ref="A74:M74"/>
    <mergeCell ref="A75:M75"/>
    <mergeCell ref="A76:M76"/>
    <mergeCell ref="A77:M77"/>
    <mergeCell ref="A78:M78"/>
    <mergeCell ref="A69:E69"/>
    <mergeCell ref="I69:M69"/>
    <mergeCell ref="A70:E70"/>
    <mergeCell ref="I70:M70"/>
    <mergeCell ref="A71:M71"/>
    <mergeCell ref="A72:M72"/>
  </mergeCells>
  <pageMargins left="0.7" right="0.7" top="0.75" bottom="0.75" header="0.3" footer="0.3"/>
  <pageSetup paperSize="9" scale="90" orientation="portrait" horizontalDpi="4294967293"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N47"/>
  <sheetViews>
    <sheetView view="pageBreakPreview" zoomScale="115" zoomScaleNormal="100" zoomScaleSheetLayoutView="115" workbookViewId="0">
      <selection activeCell="N18" sqref="N18"/>
    </sheetView>
  </sheetViews>
  <sheetFormatPr defaultRowHeight="15" x14ac:dyDescent="0.25"/>
  <cols>
    <col min="2" max="2" width="20.7109375" customWidth="1"/>
    <col min="3" max="3" width="4.28515625" customWidth="1"/>
    <col min="5" max="5" width="7.42578125" customWidth="1"/>
    <col min="6" max="6" width="6.7109375" customWidth="1"/>
    <col min="8" max="8" width="6.85546875" customWidth="1"/>
    <col min="9" max="9" width="5.5703125" customWidth="1"/>
  </cols>
  <sheetData>
    <row r="1" spans="1:14" x14ac:dyDescent="0.25">
      <c r="A1" s="69"/>
      <c r="B1" s="69"/>
      <c r="C1" s="69"/>
      <c r="D1" s="69"/>
      <c r="E1" s="69"/>
      <c r="F1" s="69"/>
      <c r="G1" s="69"/>
      <c r="H1" s="69"/>
      <c r="I1" s="69"/>
      <c r="J1" s="69"/>
      <c r="K1" s="69"/>
    </row>
    <row r="2" spans="1:14" x14ac:dyDescent="0.25">
      <c r="A2" s="69"/>
      <c r="B2" s="69"/>
      <c r="C2" s="69"/>
      <c r="D2" s="69"/>
      <c r="E2" s="69"/>
      <c r="F2" s="69"/>
      <c r="G2" s="69"/>
      <c r="H2" s="69"/>
      <c r="I2" s="69"/>
      <c r="J2" s="69"/>
      <c r="K2" s="69"/>
    </row>
    <row r="3" spans="1:14" x14ac:dyDescent="0.25">
      <c r="A3" s="69"/>
      <c r="B3" s="69"/>
      <c r="C3" s="69"/>
      <c r="D3" s="69"/>
      <c r="E3" s="69"/>
      <c r="F3" s="69"/>
      <c r="G3" s="69"/>
      <c r="H3" s="69"/>
      <c r="I3" s="69"/>
      <c r="J3" s="69"/>
      <c r="K3" s="69"/>
    </row>
    <row r="4" spans="1:14" x14ac:dyDescent="0.25">
      <c r="A4" s="69"/>
      <c r="B4" s="69"/>
      <c r="C4" s="69"/>
      <c r="D4" s="69"/>
      <c r="E4" s="69"/>
      <c r="F4" s="69"/>
      <c r="G4" s="69"/>
      <c r="H4" s="69"/>
      <c r="I4" s="69"/>
      <c r="J4" s="69"/>
      <c r="K4" s="69"/>
      <c r="N4">
        <v>1500</v>
      </c>
    </row>
    <row r="5" spans="1:14" x14ac:dyDescent="0.25">
      <c r="A5" s="69"/>
      <c r="B5" s="69"/>
      <c r="C5" s="69"/>
      <c r="D5" s="69"/>
      <c r="E5" s="69"/>
      <c r="F5" s="69"/>
      <c r="G5" s="69"/>
      <c r="H5" s="69"/>
      <c r="I5" s="69"/>
      <c r="J5" s="69"/>
      <c r="K5" s="69"/>
      <c r="N5">
        <v>25</v>
      </c>
    </row>
    <row r="6" spans="1:14" x14ac:dyDescent="0.25">
      <c r="A6" s="69"/>
      <c r="B6" s="69"/>
      <c r="C6" s="69"/>
      <c r="D6" s="69"/>
      <c r="E6" s="69"/>
      <c r="F6" s="69"/>
      <c r="G6" s="69"/>
      <c r="H6" s="69"/>
      <c r="I6" s="69"/>
      <c r="J6" s="69"/>
      <c r="K6" s="69"/>
      <c r="N6">
        <f>N4/N5</f>
        <v>60</v>
      </c>
    </row>
    <row r="8" spans="1:14" ht="23.25" customHeight="1" x14ac:dyDescent="0.25">
      <c r="A8" s="80" t="s">
        <v>214</v>
      </c>
      <c r="B8" s="81"/>
      <c r="C8" s="81"/>
      <c r="D8" s="81"/>
      <c r="E8" s="81"/>
      <c r="F8" s="81"/>
      <c r="G8" s="81"/>
      <c r="H8" s="81"/>
      <c r="I8" s="81"/>
      <c r="J8" s="81"/>
      <c r="K8" s="82"/>
    </row>
    <row r="9" spans="1:14" ht="10.5" customHeight="1" x14ac:dyDescent="0.25">
      <c r="A9" s="83"/>
      <c r="B9" s="84"/>
      <c r="C9" s="84"/>
      <c r="D9" s="84"/>
      <c r="E9" s="84"/>
      <c r="F9" s="84"/>
      <c r="G9" s="84"/>
      <c r="H9" s="84"/>
      <c r="I9" s="84"/>
      <c r="J9" s="84"/>
      <c r="K9" s="85"/>
    </row>
    <row r="10" spans="1:14" x14ac:dyDescent="0.25">
      <c r="A10" s="21" t="s">
        <v>92</v>
      </c>
      <c r="B10" s="8"/>
      <c r="C10" s="8" t="s">
        <v>15</v>
      </c>
      <c r="D10" s="8"/>
      <c r="E10" s="8"/>
      <c r="F10" s="8"/>
      <c r="G10" s="8"/>
      <c r="H10" s="8"/>
      <c r="I10" s="8"/>
      <c r="J10" s="8"/>
      <c r="K10" s="22"/>
    </row>
    <row r="11" spans="1:14" x14ac:dyDescent="0.25">
      <c r="A11" s="23" t="s">
        <v>93</v>
      </c>
      <c r="B11" s="24"/>
      <c r="C11" s="24" t="s">
        <v>15</v>
      </c>
      <c r="D11" s="24"/>
      <c r="E11" s="24"/>
      <c r="F11" s="24"/>
      <c r="G11" s="24"/>
      <c r="H11" s="24"/>
      <c r="I11" s="24"/>
      <c r="J11" s="24"/>
      <c r="K11" s="25"/>
    </row>
    <row r="12" spans="1:14" x14ac:dyDescent="0.25">
      <c r="A12" s="23" t="s">
        <v>94</v>
      </c>
      <c r="B12" s="24"/>
      <c r="C12" s="24" t="s">
        <v>15</v>
      </c>
      <c r="D12" s="24"/>
      <c r="E12" s="24"/>
      <c r="F12" s="24"/>
      <c r="G12" s="24"/>
      <c r="H12" s="24"/>
      <c r="I12" s="24"/>
      <c r="J12" s="24"/>
      <c r="K12" s="25"/>
    </row>
    <row r="13" spans="1:14" x14ac:dyDescent="0.25">
      <c r="A13" s="23" t="s">
        <v>95</v>
      </c>
      <c r="B13" s="24"/>
      <c r="C13" s="24" t="s">
        <v>15</v>
      </c>
      <c r="D13" s="24"/>
      <c r="E13" s="24"/>
      <c r="F13" s="24"/>
      <c r="G13" s="24"/>
      <c r="H13" s="24"/>
      <c r="I13" s="24"/>
      <c r="J13" s="24"/>
      <c r="K13" s="25"/>
    </row>
    <row r="14" spans="1:14" x14ac:dyDescent="0.25">
      <c r="A14" s="23" t="s">
        <v>96</v>
      </c>
      <c r="B14" s="24"/>
      <c r="C14" s="24" t="s">
        <v>15</v>
      </c>
      <c r="D14" s="24"/>
      <c r="E14" s="24"/>
      <c r="F14" s="24"/>
      <c r="G14" s="24"/>
      <c r="H14" s="24"/>
      <c r="I14" s="24"/>
      <c r="J14" s="24"/>
      <c r="K14" s="25"/>
    </row>
    <row r="15" spans="1:14" x14ac:dyDescent="0.25">
      <c r="A15" s="23" t="s">
        <v>97</v>
      </c>
      <c r="B15" s="24"/>
      <c r="C15" s="24" t="s">
        <v>15</v>
      </c>
      <c r="D15" s="24"/>
      <c r="E15" s="24"/>
      <c r="F15" s="24"/>
      <c r="G15" s="24"/>
      <c r="H15" s="24"/>
      <c r="I15" s="24"/>
      <c r="J15" s="24"/>
      <c r="K15" s="25"/>
    </row>
    <row r="16" spans="1:14" x14ac:dyDescent="0.25">
      <c r="A16" s="26"/>
      <c r="B16" s="27"/>
      <c r="C16" s="27"/>
      <c r="D16" s="27"/>
      <c r="E16" s="27"/>
      <c r="F16" s="27"/>
      <c r="G16" s="27"/>
      <c r="H16" s="27"/>
      <c r="I16" s="27"/>
      <c r="J16" s="27"/>
      <c r="K16" s="28"/>
    </row>
    <row r="17" spans="1:11" s="13" customFormat="1" ht="33.75" customHeight="1" x14ac:dyDescent="0.25">
      <c r="A17" s="93" t="s">
        <v>98</v>
      </c>
      <c r="B17" s="93"/>
      <c r="C17" s="93" t="s">
        <v>99</v>
      </c>
      <c r="D17" s="93"/>
      <c r="E17" s="94" t="s">
        <v>100</v>
      </c>
      <c r="F17" s="94"/>
      <c r="G17" s="93" t="s">
        <v>101</v>
      </c>
      <c r="H17" s="94" t="s">
        <v>102</v>
      </c>
      <c r="I17" s="94"/>
      <c r="J17" s="93" t="s">
        <v>64</v>
      </c>
      <c r="K17" s="93"/>
    </row>
    <row r="18" spans="1:11" s="13" customFormat="1" ht="20.25" customHeight="1" x14ac:dyDescent="0.25">
      <c r="A18" s="93"/>
      <c r="B18" s="93"/>
      <c r="C18" s="93"/>
      <c r="D18" s="93"/>
      <c r="E18" s="94"/>
      <c r="F18" s="94"/>
      <c r="G18" s="93"/>
      <c r="H18" s="94"/>
      <c r="I18" s="94"/>
      <c r="J18" s="15" t="s">
        <v>69</v>
      </c>
      <c r="K18" s="15" t="s">
        <v>71</v>
      </c>
    </row>
    <row r="19" spans="1:11" s="13" customFormat="1" ht="20.25" customHeight="1" x14ac:dyDescent="0.25">
      <c r="A19" s="89">
        <v>1</v>
      </c>
      <c r="B19" s="89"/>
      <c r="C19" s="89">
        <f>A19+1</f>
        <v>2</v>
      </c>
      <c r="D19" s="89"/>
      <c r="E19" s="89">
        <f>C19+1</f>
        <v>3</v>
      </c>
      <c r="F19" s="89"/>
      <c r="G19" s="16">
        <f>E19+1</f>
        <v>4</v>
      </c>
      <c r="H19" s="90">
        <f>G19+1</f>
        <v>5</v>
      </c>
      <c r="I19" s="90"/>
      <c r="J19" s="16">
        <f>H19+1</f>
        <v>6</v>
      </c>
      <c r="K19" s="16">
        <f>J19+1</f>
        <v>7</v>
      </c>
    </row>
    <row r="20" spans="1:11" x14ac:dyDescent="0.25">
      <c r="A20" s="91"/>
      <c r="B20" s="92"/>
      <c r="C20" s="89"/>
      <c r="D20" s="89"/>
      <c r="E20" s="89"/>
      <c r="F20" s="89"/>
      <c r="G20" s="16"/>
      <c r="H20" s="90"/>
      <c r="I20" s="90"/>
      <c r="J20" s="16"/>
      <c r="K20" s="16"/>
    </row>
    <row r="21" spans="1:11" x14ac:dyDescent="0.25">
      <c r="A21" s="91"/>
      <c r="B21" s="92"/>
      <c r="C21" s="89"/>
      <c r="D21" s="89"/>
      <c r="E21" s="89"/>
      <c r="F21" s="89"/>
      <c r="G21" s="16"/>
      <c r="H21" s="90"/>
      <c r="I21" s="90"/>
      <c r="J21" s="16"/>
      <c r="K21" s="16"/>
    </row>
    <row r="22" spans="1:11" x14ac:dyDescent="0.25">
      <c r="A22" s="91"/>
      <c r="B22" s="92"/>
      <c r="C22" s="89"/>
      <c r="D22" s="89"/>
      <c r="E22" s="89"/>
      <c r="F22" s="89"/>
      <c r="G22" s="16"/>
      <c r="H22" s="90"/>
      <c r="I22" s="90"/>
      <c r="J22" s="16"/>
      <c r="K22" s="16"/>
    </row>
    <row r="23" spans="1:11" x14ac:dyDescent="0.25">
      <c r="A23" s="91"/>
      <c r="B23" s="92"/>
      <c r="C23" s="89"/>
      <c r="D23" s="89"/>
      <c r="E23" s="89"/>
      <c r="F23" s="89"/>
      <c r="G23" s="16"/>
      <c r="H23" s="90"/>
      <c r="I23" s="90"/>
      <c r="J23" s="16"/>
      <c r="K23" s="16"/>
    </row>
    <row r="24" spans="1:11" x14ac:dyDescent="0.25">
      <c r="A24" s="91"/>
      <c r="B24" s="92"/>
      <c r="C24" s="89"/>
      <c r="D24" s="89"/>
      <c r="E24" s="89"/>
      <c r="F24" s="89"/>
      <c r="G24" s="16"/>
      <c r="H24" s="90"/>
      <c r="I24" s="90"/>
      <c r="J24" s="16"/>
      <c r="K24" s="16"/>
    </row>
    <row r="25" spans="1:11" x14ac:dyDescent="0.25">
      <c r="A25" s="91"/>
      <c r="B25" s="92"/>
      <c r="C25" s="89"/>
      <c r="D25" s="89"/>
      <c r="E25" s="89"/>
      <c r="F25" s="89"/>
      <c r="G25" s="16"/>
      <c r="H25" s="90"/>
      <c r="I25" s="90"/>
      <c r="J25" s="16"/>
      <c r="K25" s="16"/>
    </row>
    <row r="26" spans="1:11" x14ac:dyDescent="0.25">
      <c r="A26" s="91"/>
      <c r="B26" s="92"/>
      <c r="C26" s="89"/>
      <c r="D26" s="89"/>
      <c r="E26" s="89"/>
      <c r="F26" s="89"/>
      <c r="G26" s="16"/>
      <c r="H26" s="90"/>
      <c r="I26" s="90"/>
      <c r="J26" s="16"/>
      <c r="K26" s="16"/>
    </row>
    <row r="27" spans="1:11" x14ac:dyDescent="0.25">
      <c r="A27" s="91"/>
      <c r="B27" s="92"/>
      <c r="C27" s="89"/>
      <c r="D27" s="89"/>
      <c r="E27" s="89"/>
      <c r="F27" s="89"/>
      <c r="G27" s="16"/>
      <c r="H27" s="90"/>
      <c r="I27" s="90"/>
      <c r="J27" s="16"/>
      <c r="K27" s="16"/>
    </row>
    <row r="28" spans="1:11" x14ac:dyDescent="0.25">
      <c r="A28" s="91"/>
      <c r="B28" s="92"/>
      <c r="C28" s="89"/>
      <c r="D28" s="89"/>
      <c r="E28" s="89"/>
      <c r="F28" s="89"/>
      <c r="G28" s="16"/>
      <c r="H28" s="90"/>
      <c r="I28" s="90"/>
      <c r="J28" s="16"/>
      <c r="K28" s="16"/>
    </row>
    <row r="29" spans="1:11" x14ac:dyDescent="0.25">
      <c r="A29" s="91"/>
      <c r="B29" s="92"/>
      <c r="C29" s="89"/>
      <c r="D29" s="89"/>
      <c r="E29" s="89"/>
      <c r="F29" s="89"/>
      <c r="G29" s="16"/>
      <c r="H29" s="90"/>
      <c r="I29" s="90"/>
      <c r="J29" s="16"/>
      <c r="K29" s="16"/>
    </row>
    <row r="30" spans="1:11" x14ac:dyDescent="0.25">
      <c r="A30" s="87"/>
      <c r="B30" s="87"/>
      <c r="C30" s="87"/>
      <c r="D30" s="87"/>
      <c r="E30" s="87"/>
      <c r="F30" s="87"/>
      <c r="G30" s="14"/>
      <c r="H30" s="88"/>
      <c r="I30" s="88"/>
      <c r="J30" s="14"/>
      <c r="K30" s="14"/>
    </row>
    <row r="31" spans="1:11" x14ac:dyDescent="0.25">
      <c r="A31" s="87"/>
      <c r="B31" s="87"/>
      <c r="C31" s="87"/>
      <c r="D31" s="87"/>
      <c r="E31" s="87"/>
      <c r="F31" s="87"/>
      <c r="G31" s="14"/>
      <c r="H31" s="88"/>
      <c r="I31" s="88"/>
      <c r="J31" s="14"/>
      <c r="K31" s="14"/>
    </row>
    <row r="32" spans="1:11" x14ac:dyDescent="0.25">
      <c r="A32" s="87"/>
      <c r="B32" s="87"/>
      <c r="C32" s="87"/>
      <c r="D32" s="87"/>
      <c r="E32" s="87"/>
      <c r="F32" s="87"/>
      <c r="G32" s="14"/>
      <c r="H32" s="88"/>
      <c r="I32" s="88"/>
      <c r="J32" s="14"/>
      <c r="K32" s="14"/>
    </row>
    <row r="33" spans="3:11" x14ac:dyDescent="0.25">
      <c r="C33" s="87"/>
      <c r="D33" s="87"/>
      <c r="E33" s="87"/>
      <c r="F33" s="87"/>
      <c r="G33" s="18" t="s">
        <v>159</v>
      </c>
      <c r="H33" s="18"/>
      <c r="I33" s="18"/>
      <c r="J33" s="18"/>
      <c r="K33" s="18"/>
    </row>
    <row r="34" spans="3:11" x14ac:dyDescent="0.25">
      <c r="C34" s="87"/>
      <c r="D34" s="87"/>
      <c r="E34" s="87"/>
      <c r="F34" s="87"/>
      <c r="G34" s="18"/>
      <c r="H34" s="18"/>
      <c r="I34" s="18"/>
      <c r="J34" s="18"/>
      <c r="K34" s="18"/>
    </row>
    <row r="35" spans="3:11" x14ac:dyDescent="0.25">
      <c r="G35" s="86" t="s">
        <v>103</v>
      </c>
      <c r="H35" s="86"/>
      <c r="I35" s="86"/>
      <c r="J35" s="86"/>
      <c r="K35" s="86"/>
    </row>
    <row r="36" spans="3:11" x14ac:dyDescent="0.25">
      <c r="G36" s="86"/>
      <c r="H36" s="86"/>
      <c r="I36" s="86"/>
      <c r="J36" s="86"/>
      <c r="K36" s="86"/>
    </row>
    <row r="37" spans="3:11" x14ac:dyDescent="0.25">
      <c r="G37" s="12" t="str">
        <f>'BA JPT'!I63</f>
        <v>PT. EMKA JAYA UTAMA</v>
      </c>
      <c r="H37" s="19"/>
      <c r="I37" s="19"/>
      <c r="J37" s="19"/>
      <c r="K37" s="19"/>
    </row>
    <row r="38" spans="3:11" x14ac:dyDescent="0.25">
      <c r="G38" s="19"/>
      <c r="H38" s="19"/>
      <c r="I38" s="19"/>
      <c r="J38" s="19"/>
      <c r="K38" s="19"/>
    </row>
    <row r="39" spans="3:11" x14ac:dyDescent="0.25">
      <c r="G39" s="19"/>
      <c r="H39" s="19"/>
      <c r="I39" s="19"/>
      <c r="J39" s="19"/>
      <c r="K39" s="19"/>
    </row>
    <row r="40" spans="3:11" x14ac:dyDescent="0.25">
      <c r="G40" s="19"/>
      <c r="H40" s="19"/>
      <c r="I40" s="19"/>
      <c r="J40" s="19"/>
      <c r="K40" s="19"/>
    </row>
    <row r="41" spans="3:11" x14ac:dyDescent="0.25">
      <c r="G41" s="19"/>
      <c r="H41" s="19"/>
      <c r="I41" s="19"/>
      <c r="J41" s="19"/>
      <c r="K41" s="19"/>
    </row>
    <row r="42" spans="3:11" x14ac:dyDescent="0.25">
      <c r="G42" s="19"/>
      <c r="H42" s="19"/>
      <c r="I42" s="19"/>
      <c r="J42" s="19"/>
      <c r="K42" s="19"/>
    </row>
    <row r="43" spans="3:11" x14ac:dyDescent="0.25">
      <c r="G43" s="19"/>
      <c r="H43" s="19"/>
      <c r="I43" s="19"/>
      <c r="J43" s="19"/>
      <c r="K43" s="19"/>
    </row>
    <row r="44" spans="3:11" x14ac:dyDescent="0.25">
      <c r="G44" s="20" t="str">
        <f>'BA JPT'!I68</f>
        <v>HILARIUS MBUSA</v>
      </c>
      <c r="H44" s="19"/>
      <c r="I44" s="19"/>
      <c r="J44" s="19"/>
      <c r="K44" s="19"/>
    </row>
    <row r="45" spans="3:11" x14ac:dyDescent="0.25">
      <c r="G45" s="19" t="str">
        <f>'BA JPT'!I69</f>
        <v>Direktur</v>
      </c>
      <c r="H45" s="19"/>
      <c r="I45" s="19"/>
      <c r="J45" s="19"/>
      <c r="K45" s="19"/>
    </row>
    <row r="46" spans="3:11" x14ac:dyDescent="0.25">
      <c r="G46" s="19"/>
      <c r="H46" s="19"/>
      <c r="I46" s="19"/>
      <c r="J46" s="19"/>
      <c r="K46" s="19"/>
    </row>
    <row r="47" spans="3:11" x14ac:dyDescent="0.25">
      <c r="G47" s="17"/>
      <c r="H47" s="17"/>
      <c r="I47" s="17"/>
      <c r="J47" s="17"/>
      <c r="K47" s="17"/>
    </row>
  </sheetData>
  <mergeCells count="69">
    <mergeCell ref="J17:K17"/>
    <mergeCell ref="A17:B18"/>
    <mergeCell ref="C17:D18"/>
    <mergeCell ref="E17:F18"/>
    <mergeCell ref="G17:G18"/>
    <mergeCell ref="H17:I18"/>
    <mergeCell ref="A27:B27"/>
    <mergeCell ref="A19:B19"/>
    <mergeCell ref="C19:D19"/>
    <mergeCell ref="E19:F19"/>
    <mergeCell ref="H19:I19"/>
    <mergeCell ref="A20:B20"/>
    <mergeCell ref="A21:B21"/>
    <mergeCell ref="E20:F20"/>
    <mergeCell ref="H20:I20"/>
    <mergeCell ref="E21:F21"/>
    <mergeCell ref="H21:I21"/>
    <mergeCell ref="A22:B22"/>
    <mergeCell ref="A23:B23"/>
    <mergeCell ref="A24:B24"/>
    <mergeCell ref="A25:B25"/>
    <mergeCell ref="A26:B26"/>
    <mergeCell ref="C20:D20"/>
    <mergeCell ref="C21:D21"/>
    <mergeCell ref="C22:D22"/>
    <mergeCell ref="C25:D25"/>
    <mergeCell ref="C28:D28"/>
    <mergeCell ref="C27:D27"/>
    <mergeCell ref="A28:B28"/>
    <mergeCell ref="A29:B29"/>
    <mergeCell ref="A30:B30"/>
    <mergeCell ref="A31:B31"/>
    <mergeCell ref="A32:B32"/>
    <mergeCell ref="E27:F27"/>
    <mergeCell ref="H27:I27"/>
    <mergeCell ref="E22:F22"/>
    <mergeCell ref="H22:I22"/>
    <mergeCell ref="C23:D23"/>
    <mergeCell ref="E23:F23"/>
    <mergeCell ref="H23:I23"/>
    <mergeCell ref="C24:D24"/>
    <mergeCell ref="E24:F24"/>
    <mergeCell ref="H24:I24"/>
    <mergeCell ref="E25:F25"/>
    <mergeCell ref="H25:I25"/>
    <mergeCell ref="C26:D26"/>
    <mergeCell ref="E26:F26"/>
    <mergeCell ref="H26:I26"/>
    <mergeCell ref="E29:F29"/>
    <mergeCell ref="H29:I29"/>
    <mergeCell ref="C30:D30"/>
    <mergeCell ref="E30:F30"/>
    <mergeCell ref="H30:I30"/>
    <mergeCell ref="A8:K9"/>
    <mergeCell ref="A1:K6"/>
    <mergeCell ref="G35:K36"/>
    <mergeCell ref="C33:D33"/>
    <mergeCell ref="E33:F33"/>
    <mergeCell ref="C34:D34"/>
    <mergeCell ref="E34:F34"/>
    <mergeCell ref="C31:D31"/>
    <mergeCell ref="E31:F31"/>
    <mergeCell ref="H31:I31"/>
    <mergeCell ref="C32:D32"/>
    <mergeCell ref="E32:F32"/>
    <mergeCell ref="H32:I32"/>
    <mergeCell ref="E28:F28"/>
    <mergeCell ref="H28:I28"/>
    <mergeCell ref="C29:D29"/>
  </mergeCells>
  <printOptions horizontalCentered="1"/>
  <pageMargins left="0.70866141732283472" right="0.70866141732283472" top="0.74803149606299213" bottom="0.74803149606299213" header="0.31496062992125984" footer="0.31496062992125984"/>
  <pageSetup paperSize="9" scale="85" orientation="portrait" horizontalDpi="4294967293"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33"/>
  <sheetViews>
    <sheetView view="pageBreakPreview" zoomScale="85" zoomScaleNormal="100" zoomScaleSheetLayoutView="85" workbookViewId="0">
      <selection activeCell="A4" sqref="A4:E6"/>
    </sheetView>
  </sheetViews>
  <sheetFormatPr defaultRowHeight="15" x14ac:dyDescent="0.25"/>
  <cols>
    <col min="1" max="1" width="6.42578125" customWidth="1"/>
    <col min="2" max="2" width="16.42578125" customWidth="1"/>
    <col min="4" max="4" width="6.28515625" customWidth="1"/>
    <col min="5" max="5" width="4.140625" customWidth="1"/>
    <col min="6" max="6" width="4.28515625" customWidth="1"/>
    <col min="7" max="8" width="11.140625" customWidth="1"/>
    <col min="9" max="9" width="3.140625" customWidth="1"/>
    <col min="10" max="10" width="2.5703125" customWidth="1"/>
  </cols>
  <sheetData>
    <row r="3" spans="1:13" ht="18.75" customHeight="1" x14ac:dyDescent="0.4">
      <c r="A3" s="35" t="str">
        <f>'TIME SHEET'!G37</f>
        <v>PT. EMKA JAYA UTAMA</v>
      </c>
      <c r="B3" s="8"/>
      <c r="C3" s="8"/>
      <c r="D3" s="8"/>
      <c r="E3" s="8"/>
      <c r="F3" s="22"/>
      <c r="G3" s="101" t="s">
        <v>110</v>
      </c>
      <c r="H3" s="102"/>
      <c r="I3" s="102"/>
      <c r="J3" s="102"/>
      <c r="K3" s="102"/>
      <c r="L3" s="103"/>
      <c r="M3" s="34"/>
    </row>
    <row r="4" spans="1:13" ht="15" customHeight="1" x14ac:dyDescent="0.25">
      <c r="A4" s="118" t="str">
        <f>'BA BONGKA MUAT'!G20</f>
        <v>Depan Polsek Mauponggo, Kel. Mauponggo, Kec. Mauponggo, Kab. Nagekeo, Provinsi Nusa Tenggara Timur (86463)</v>
      </c>
      <c r="B4" s="119"/>
      <c r="C4" s="119"/>
      <c r="D4" s="119"/>
      <c r="E4" s="119"/>
      <c r="F4" s="25"/>
      <c r="G4" s="104"/>
      <c r="H4" s="105"/>
      <c r="I4" s="105"/>
      <c r="J4" s="105"/>
      <c r="K4" s="105"/>
      <c r="L4" s="106"/>
      <c r="M4" s="34"/>
    </row>
    <row r="5" spans="1:13" x14ac:dyDescent="0.25">
      <c r="A5" s="118"/>
      <c r="B5" s="119"/>
      <c r="C5" s="119"/>
      <c r="D5" s="119"/>
      <c r="E5" s="119"/>
      <c r="F5" s="25"/>
      <c r="G5" s="21" t="s">
        <v>105</v>
      </c>
      <c r="H5" s="8"/>
      <c r="I5" s="8"/>
      <c r="J5" s="8" t="s">
        <v>15</v>
      </c>
      <c r="K5" s="8" t="s">
        <v>116</v>
      </c>
      <c r="L5" s="22"/>
    </row>
    <row r="6" spans="1:13" x14ac:dyDescent="0.25">
      <c r="A6" s="120"/>
      <c r="B6" s="121"/>
      <c r="C6" s="121"/>
      <c r="D6" s="121"/>
      <c r="E6" s="121"/>
      <c r="F6" s="28"/>
      <c r="G6" s="23" t="s">
        <v>106</v>
      </c>
      <c r="H6" s="24"/>
      <c r="I6" s="24"/>
      <c r="J6" s="24" t="s">
        <v>15</v>
      </c>
      <c r="K6" s="24" t="s">
        <v>116</v>
      </c>
      <c r="L6" s="25"/>
    </row>
    <row r="7" spans="1:13" x14ac:dyDescent="0.25">
      <c r="A7" s="37"/>
      <c r="B7" s="30"/>
      <c r="C7" s="30"/>
      <c r="D7" s="30"/>
      <c r="E7" s="30"/>
      <c r="F7" s="22"/>
      <c r="G7" s="23" t="s">
        <v>121</v>
      </c>
      <c r="H7" s="24"/>
      <c r="I7" s="24"/>
      <c r="J7" s="24" t="s">
        <v>15</v>
      </c>
      <c r="K7" s="24" t="s">
        <v>116</v>
      </c>
      <c r="L7" s="25"/>
    </row>
    <row r="8" spans="1:13" x14ac:dyDescent="0.25">
      <c r="A8" s="23" t="s">
        <v>104</v>
      </c>
      <c r="B8" s="36"/>
      <c r="C8" s="36"/>
      <c r="D8" s="36"/>
      <c r="E8" s="36"/>
      <c r="F8" s="25"/>
      <c r="G8" s="23" t="s">
        <v>107</v>
      </c>
      <c r="H8" s="24"/>
      <c r="I8" s="24"/>
      <c r="J8" s="24" t="s">
        <v>15</v>
      </c>
      <c r="K8" s="24" t="s">
        <v>116</v>
      </c>
      <c r="L8" s="25"/>
    </row>
    <row r="9" spans="1:13" x14ac:dyDescent="0.25">
      <c r="A9" s="23"/>
      <c r="B9" s="24"/>
      <c r="C9" s="24"/>
      <c r="D9" s="24"/>
      <c r="E9" s="24"/>
      <c r="F9" s="25"/>
      <c r="G9" s="23" t="s">
        <v>108</v>
      </c>
      <c r="H9" s="24"/>
      <c r="I9" s="24"/>
      <c r="J9" s="24" t="s">
        <v>15</v>
      </c>
      <c r="K9" s="24" t="s">
        <v>116</v>
      </c>
      <c r="L9" s="25"/>
    </row>
    <row r="10" spans="1:13" x14ac:dyDescent="0.25">
      <c r="A10" s="26"/>
      <c r="B10" s="27"/>
      <c r="C10" s="27"/>
      <c r="D10" s="27"/>
      <c r="E10" s="27"/>
      <c r="F10" s="28"/>
      <c r="G10" s="26" t="s">
        <v>109</v>
      </c>
      <c r="H10" s="27"/>
      <c r="I10" s="27"/>
      <c r="J10" s="27" t="s">
        <v>15</v>
      </c>
      <c r="K10" s="27" t="s">
        <v>116</v>
      </c>
      <c r="L10" s="28"/>
    </row>
    <row r="11" spans="1:13" x14ac:dyDescent="0.25">
      <c r="A11" s="23"/>
      <c r="B11" s="24"/>
      <c r="C11" s="24"/>
      <c r="D11" s="24"/>
      <c r="E11" s="24"/>
      <c r="F11" s="24"/>
      <c r="G11" s="24"/>
      <c r="H11" s="24"/>
      <c r="I11" s="24"/>
      <c r="J11" s="24"/>
      <c r="K11" s="24"/>
      <c r="L11" s="25"/>
    </row>
    <row r="12" spans="1:13" x14ac:dyDescent="0.25">
      <c r="A12" s="26"/>
      <c r="B12" s="27"/>
      <c r="C12" s="27"/>
      <c r="D12" s="27"/>
      <c r="E12" s="27"/>
      <c r="F12" s="27"/>
      <c r="G12" s="27"/>
      <c r="H12" s="27"/>
      <c r="I12" s="27"/>
      <c r="J12" s="27"/>
      <c r="K12" s="27"/>
      <c r="L12" s="28"/>
    </row>
    <row r="13" spans="1:13" s="7" customFormat="1" x14ac:dyDescent="0.25">
      <c r="A13" s="93" t="s">
        <v>111</v>
      </c>
      <c r="B13" s="93" t="s">
        <v>112</v>
      </c>
      <c r="C13" s="108" t="s">
        <v>113</v>
      </c>
      <c r="D13" s="109"/>
      <c r="E13" s="109"/>
      <c r="F13" s="110"/>
      <c r="G13" s="122" t="s">
        <v>114</v>
      </c>
      <c r="H13" s="122"/>
      <c r="I13" s="93" t="s">
        <v>115</v>
      </c>
      <c r="J13" s="93"/>
      <c r="K13" s="93"/>
      <c r="L13" s="93"/>
    </row>
    <row r="14" spans="1:13" x14ac:dyDescent="0.25">
      <c r="A14" s="93"/>
      <c r="B14" s="93"/>
      <c r="C14" s="111"/>
      <c r="D14" s="112"/>
      <c r="E14" s="112"/>
      <c r="F14" s="113"/>
      <c r="G14" s="31" t="s">
        <v>69</v>
      </c>
      <c r="H14" s="31" t="s">
        <v>71</v>
      </c>
      <c r="I14" s="93"/>
      <c r="J14" s="93"/>
      <c r="K14" s="93"/>
      <c r="L14" s="93"/>
    </row>
    <row r="15" spans="1:13" s="5" customFormat="1" x14ac:dyDescent="0.25">
      <c r="A15" s="32">
        <v>1</v>
      </c>
      <c r="B15" s="32">
        <v>2</v>
      </c>
      <c r="C15" s="114">
        <v>3</v>
      </c>
      <c r="D15" s="115"/>
      <c r="E15" s="115"/>
      <c r="F15" s="116"/>
      <c r="G15" s="32">
        <v>4</v>
      </c>
      <c r="H15" s="32">
        <v>5</v>
      </c>
      <c r="I15" s="107">
        <v>6</v>
      </c>
      <c r="J15" s="107"/>
      <c r="K15" s="107"/>
      <c r="L15" s="107"/>
    </row>
    <row r="16" spans="1:13" x14ac:dyDescent="0.25">
      <c r="A16" s="33"/>
      <c r="B16" s="33"/>
      <c r="C16" s="98"/>
      <c r="D16" s="99"/>
      <c r="E16" s="99"/>
      <c r="F16" s="100"/>
      <c r="G16" s="33"/>
      <c r="H16" s="33"/>
      <c r="I16" s="117"/>
      <c r="J16" s="117"/>
      <c r="K16" s="117"/>
      <c r="L16" s="117"/>
    </row>
    <row r="17" spans="1:12" x14ac:dyDescent="0.25">
      <c r="A17" s="33"/>
      <c r="B17" s="33"/>
      <c r="C17" s="98"/>
      <c r="D17" s="99"/>
      <c r="E17" s="99"/>
      <c r="F17" s="100"/>
      <c r="G17" s="33"/>
      <c r="H17" s="33"/>
      <c r="I17" s="117"/>
      <c r="J17" s="117"/>
      <c r="K17" s="117"/>
      <c r="L17" s="117"/>
    </row>
    <row r="18" spans="1:12" x14ac:dyDescent="0.25">
      <c r="A18" s="33"/>
      <c r="B18" s="33"/>
      <c r="C18" s="98"/>
      <c r="D18" s="99"/>
      <c r="E18" s="99"/>
      <c r="F18" s="100"/>
      <c r="G18" s="33"/>
      <c r="H18" s="33"/>
      <c r="I18" s="117"/>
      <c r="J18" s="117"/>
      <c r="K18" s="117"/>
      <c r="L18" s="117"/>
    </row>
    <row r="19" spans="1:12" x14ac:dyDescent="0.25">
      <c r="A19" s="33"/>
      <c r="B19" s="33"/>
      <c r="C19" s="98"/>
      <c r="D19" s="99"/>
      <c r="E19" s="99"/>
      <c r="F19" s="100"/>
      <c r="G19" s="33"/>
      <c r="H19" s="33"/>
      <c r="I19" s="117"/>
      <c r="J19" s="117"/>
      <c r="K19" s="117"/>
      <c r="L19" s="117"/>
    </row>
    <row r="20" spans="1:12" x14ac:dyDescent="0.25">
      <c r="A20" s="33"/>
      <c r="B20" s="33"/>
      <c r="C20" s="98"/>
      <c r="D20" s="99"/>
      <c r="E20" s="99"/>
      <c r="F20" s="100"/>
      <c r="G20" s="33"/>
      <c r="H20" s="33"/>
      <c r="I20" s="117"/>
      <c r="J20" s="117"/>
      <c r="K20" s="117"/>
      <c r="L20" s="117"/>
    </row>
    <row r="21" spans="1:12" x14ac:dyDescent="0.25">
      <c r="A21" s="33"/>
      <c r="B21" s="33"/>
      <c r="C21" s="98"/>
      <c r="D21" s="99"/>
      <c r="E21" s="99"/>
      <c r="F21" s="100"/>
      <c r="G21" s="33"/>
      <c r="H21" s="33"/>
      <c r="I21" s="117"/>
      <c r="J21" s="117"/>
      <c r="K21" s="117"/>
      <c r="L21" s="117"/>
    </row>
    <row r="22" spans="1:12" x14ac:dyDescent="0.25">
      <c r="A22" s="33"/>
      <c r="B22" s="33"/>
      <c r="C22" s="98"/>
      <c r="D22" s="99"/>
      <c r="E22" s="99"/>
      <c r="F22" s="100"/>
      <c r="G22" s="33"/>
      <c r="H22" s="33"/>
      <c r="I22" s="117"/>
      <c r="J22" s="117"/>
      <c r="K22" s="117"/>
      <c r="L22" s="117"/>
    </row>
    <row r="25" spans="1:12" x14ac:dyDescent="0.25">
      <c r="A25" s="76" t="s">
        <v>117</v>
      </c>
      <c r="B25" s="76"/>
      <c r="E25" s="107" t="s">
        <v>119</v>
      </c>
      <c r="F25" s="107"/>
      <c r="G25" s="107"/>
      <c r="H25" s="107" t="s">
        <v>122</v>
      </c>
      <c r="I25" s="107"/>
      <c r="J25" s="107"/>
      <c r="K25" s="107" t="s">
        <v>123</v>
      </c>
      <c r="L25" s="107"/>
    </row>
    <row r="26" spans="1:12" x14ac:dyDescent="0.25">
      <c r="E26" s="97"/>
      <c r="F26" s="97"/>
      <c r="G26" s="97"/>
      <c r="H26" s="97"/>
      <c r="I26" s="97"/>
      <c r="J26" s="97"/>
      <c r="K26" s="97"/>
      <c r="L26" s="97"/>
    </row>
    <row r="27" spans="1:12" x14ac:dyDescent="0.25">
      <c r="E27" s="96"/>
      <c r="F27" s="96"/>
      <c r="G27" s="96"/>
      <c r="H27" s="96"/>
      <c r="I27" s="96"/>
      <c r="J27" s="96"/>
      <c r="K27" s="96"/>
      <c r="L27" s="96"/>
    </row>
    <row r="28" spans="1:12" x14ac:dyDescent="0.25">
      <c r="E28" s="96"/>
      <c r="F28" s="96"/>
      <c r="G28" s="96"/>
      <c r="H28" s="96"/>
      <c r="I28" s="96"/>
      <c r="J28" s="96"/>
      <c r="K28" s="96"/>
      <c r="L28" s="96"/>
    </row>
    <row r="29" spans="1:12" x14ac:dyDescent="0.25">
      <c r="E29" s="96"/>
      <c r="F29" s="96"/>
      <c r="G29" s="96"/>
      <c r="H29" s="96"/>
      <c r="I29" s="96"/>
      <c r="J29" s="96"/>
      <c r="K29" s="96"/>
      <c r="L29" s="96"/>
    </row>
    <row r="30" spans="1:12" x14ac:dyDescent="0.25">
      <c r="A30" t="s">
        <v>118</v>
      </c>
      <c r="E30" s="95"/>
      <c r="F30" s="95"/>
      <c r="G30" s="95"/>
      <c r="H30" s="95"/>
      <c r="I30" s="95"/>
      <c r="J30" s="95"/>
      <c r="K30" s="95"/>
      <c r="L30" s="95"/>
    </row>
    <row r="33" spans="1:1" x14ac:dyDescent="0.25">
      <c r="A33" t="s">
        <v>120</v>
      </c>
    </row>
  </sheetData>
  <mergeCells count="42">
    <mergeCell ref="A4:E6"/>
    <mergeCell ref="G13:H13"/>
    <mergeCell ref="A13:A14"/>
    <mergeCell ref="B13:B14"/>
    <mergeCell ref="I21:L21"/>
    <mergeCell ref="I22:L22"/>
    <mergeCell ref="I13:L14"/>
    <mergeCell ref="I15:L15"/>
    <mergeCell ref="I16:L16"/>
    <mergeCell ref="I17:L17"/>
    <mergeCell ref="I18:L18"/>
    <mergeCell ref="C22:F22"/>
    <mergeCell ref="G3:L4"/>
    <mergeCell ref="A25:B25"/>
    <mergeCell ref="K25:L25"/>
    <mergeCell ref="H25:J25"/>
    <mergeCell ref="E25:G25"/>
    <mergeCell ref="C13:F14"/>
    <mergeCell ref="C15:F15"/>
    <mergeCell ref="C16:F16"/>
    <mergeCell ref="C17:F17"/>
    <mergeCell ref="C18:F18"/>
    <mergeCell ref="C19:F19"/>
    <mergeCell ref="C20:F20"/>
    <mergeCell ref="C21:F21"/>
    <mergeCell ref="I19:L19"/>
    <mergeCell ref="I20:L20"/>
    <mergeCell ref="E26:G26"/>
    <mergeCell ref="H26:J26"/>
    <mergeCell ref="K26:L26"/>
    <mergeCell ref="E27:G27"/>
    <mergeCell ref="H27:J27"/>
    <mergeCell ref="K27:L27"/>
    <mergeCell ref="E30:G30"/>
    <mergeCell ref="H30:J30"/>
    <mergeCell ref="K30:L30"/>
    <mergeCell ref="E28:G28"/>
    <mergeCell ref="H28:J28"/>
    <mergeCell ref="K28:L28"/>
    <mergeCell ref="E29:G29"/>
    <mergeCell ref="H29:J29"/>
    <mergeCell ref="K29:L29"/>
  </mergeCells>
  <pageMargins left="0.7" right="0.7" top="0.75" bottom="0.75" header="0.3" footer="0.3"/>
  <pageSetup paperSize="9" scale="90" orientation="portrait" horizontalDpi="4294967293"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2"/>
  <sheetViews>
    <sheetView view="pageBreakPreview" zoomScale="85" zoomScaleNormal="100" zoomScaleSheetLayoutView="85" workbookViewId="0">
      <selection activeCell="H14" sqref="H14"/>
    </sheetView>
  </sheetViews>
  <sheetFormatPr defaultRowHeight="15" x14ac:dyDescent="0.25"/>
  <cols>
    <col min="1" max="1" width="6.42578125" style="58" customWidth="1"/>
    <col min="2" max="2" width="16.42578125" style="58" customWidth="1"/>
    <col min="3" max="3" width="9.140625" style="58"/>
    <col min="4" max="4" width="6.28515625" style="58" customWidth="1"/>
    <col min="5" max="5" width="4.140625" style="58" customWidth="1"/>
    <col min="6" max="6" width="4.28515625" style="58" customWidth="1"/>
    <col min="7" max="8" width="11.140625" style="58" customWidth="1"/>
    <col min="9" max="9" width="3.140625" style="58" customWidth="1"/>
    <col min="10" max="10" width="2.5703125" style="58" customWidth="1"/>
    <col min="11" max="16384" width="9.140625" style="58"/>
  </cols>
  <sheetData>
    <row r="2" spans="1:12" ht="23.25" x14ac:dyDescent="0.35">
      <c r="A2" s="123" t="s">
        <v>213</v>
      </c>
      <c r="B2" s="124"/>
      <c r="C2" s="124"/>
      <c r="D2" s="124"/>
      <c r="E2" s="124"/>
      <c r="F2" s="124"/>
      <c r="G2" s="124"/>
      <c r="H2" s="124"/>
      <c r="I2" s="124"/>
      <c r="J2" s="124"/>
      <c r="K2" s="124"/>
      <c r="L2" s="125"/>
    </row>
    <row r="3" spans="1:12" x14ac:dyDescent="0.25">
      <c r="A3" s="23"/>
      <c r="B3" s="24"/>
      <c r="C3" s="24"/>
      <c r="D3" s="24"/>
      <c r="E3" s="24"/>
      <c r="F3" s="24"/>
      <c r="G3" s="24"/>
      <c r="H3" s="24"/>
      <c r="I3" s="24"/>
      <c r="J3" s="24"/>
      <c r="K3" s="24"/>
      <c r="L3" s="25"/>
    </row>
    <row r="4" spans="1:12" ht="21" x14ac:dyDescent="0.35">
      <c r="A4" s="66" t="s">
        <v>31</v>
      </c>
      <c r="B4" s="61"/>
      <c r="C4" s="61"/>
      <c r="D4" s="61"/>
      <c r="E4" s="61"/>
      <c r="F4" s="61"/>
      <c r="G4" s="61"/>
      <c r="H4" s="61"/>
      <c r="I4" s="61"/>
      <c r="J4" s="61"/>
      <c r="K4" s="61"/>
      <c r="L4" s="62"/>
    </row>
    <row r="5" spans="1:12" x14ac:dyDescent="0.25">
      <c r="A5" s="23" t="s">
        <v>210</v>
      </c>
      <c r="B5" s="24"/>
      <c r="C5" s="24"/>
      <c r="D5" s="24"/>
      <c r="E5" s="24"/>
      <c r="F5" s="21" t="s">
        <v>105</v>
      </c>
      <c r="G5" s="24"/>
      <c r="H5" s="24"/>
      <c r="I5" s="24" t="s">
        <v>15</v>
      </c>
      <c r="J5" s="24"/>
      <c r="K5" s="24"/>
      <c r="L5" s="25"/>
    </row>
    <row r="6" spans="1:12" x14ac:dyDescent="0.25">
      <c r="A6" s="23" t="s">
        <v>211</v>
      </c>
      <c r="B6" s="24"/>
      <c r="C6" s="24"/>
      <c r="D6" s="24"/>
      <c r="E6" s="24"/>
      <c r="F6" s="23" t="s">
        <v>106</v>
      </c>
      <c r="G6" s="24"/>
      <c r="H6" s="24"/>
      <c r="I6" s="24" t="s">
        <v>15</v>
      </c>
      <c r="J6" s="24"/>
      <c r="K6" s="24"/>
      <c r="L6" s="25"/>
    </row>
    <row r="7" spans="1:12" x14ac:dyDescent="0.25">
      <c r="A7" s="23" t="s">
        <v>212</v>
      </c>
      <c r="B7" s="24"/>
      <c r="C7" s="24"/>
      <c r="D7" s="24"/>
      <c r="E7" s="24"/>
      <c r="F7" s="23" t="s">
        <v>121</v>
      </c>
      <c r="G7" s="24"/>
      <c r="H7" s="24"/>
      <c r="I7" s="24" t="s">
        <v>15</v>
      </c>
      <c r="J7" s="24"/>
      <c r="K7" s="24"/>
      <c r="L7" s="25"/>
    </row>
    <row r="8" spans="1:12" x14ac:dyDescent="0.25">
      <c r="A8" s="23"/>
      <c r="B8" s="24"/>
      <c r="C8" s="24"/>
      <c r="D8" s="24"/>
      <c r="E8" s="24"/>
      <c r="F8" s="23" t="s">
        <v>107</v>
      </c>
      <c r="G8" s="24"/>
      <c r="H8" s="24"/>
      <c r="I8" s="24" t="s">
        <v>15</v>
      </c>
      <c r="J8" s="24"/>
      <c r="K8" s="24"/>
      <c r="L8" s="25"/>
    </row>
    <row r="9" spans="1:12" x14ac:dyDescent="0.25">
      <c r="A9" s="23"/>
      <c r="B9" s="24"/>
      <c r="C9" s="24"/>
      <c r="D9" s="24"/>
      <c r="E9" s="24"/>
      <c r="F9" s="23" t="s">
        <v>108</v>
      </c>
      <c r="G9" s="24"/>
      <c r="H9" s="24"/>
      <c r="I9" s="24" t="s">
        <v>15</v>
      </c>
      <c r="J9" s="24"/>
      <c r="K9" s="24"/>
      <c r="L9" s="25"/>
    </row>
    <row r="10" spans="1:12" x14ac:dyDescent="0.25">
      <c r="A10" s="26"/>
      <c r="B10" s="27"/>
      <c r="C10" s="27"/>
      <c r="D10" s="27"/>
      <c r="E10" s="27"/>
      <c r="F10" s="26" t="s">
        <v>109</v>
      </c>
      <c r="G10" s="27"/>
      <c r="H10" s="27"/>
      <c r="I10" s="27" t="s">
        <v>15</v>
      </c>
      <c r="J10" s="27"/>
      <c r="K10" s="27"/>
      <c r="L10" s="28"/>
    </row>
    <row r="11" spans="1:12" x14ac:dyDescent="0.25">
      <c r="A11" s="26"/>
      <c r="B11" s="27"/>
      <c r="C11" s="27"/>
      <c r="D11" s="27"/>
      <c r="E11" s="27"/>
      <c r="F11" s="27"/>
      <c r="G11" s="27"/>
      <c r="H11" s="27"/>
      <c r="I11" s="27"/>
      <c r="J11" s="27"/>
      <c r="K11" s="27"/>
      <c r="L11" s="28"/>
    </row>
    <row r="12" spans="1:12" s="60" customFormat="1" x14ac:dyDescent="0.25">
      <c r="A12" s="93" t="s">
        <v>111</v>
      </c>
      <c r="B12" s="93" t="s">
        <v>112</v>
      </c>
      <c r="C12" s="108" t="s">
        <v>113</v>
      </c>
      <c r="D12" s="109"/>
      <c r="E12" s="109"/>
      <c r="F12" s="110"/>
      <c r="G12" s="122" t="s">
        <v>114</v>
      </c>
      <c r="H12" s="122"/>
      <c r="I12" s="93" t="s">
        <v>115</v>
      </c>
      <c r="J12" s="93"/>
      <c r="K12" s="93"/>
      <c r="L12" s="93"/>
    </row>
    <row r="13" spans="1:12" x14ac:dyDescent="0.25">
      <c r="A13" s="93"/>
      <c r="B13" s="93"/>
      <c r="C13" s="111"/>
      <c r="D13" s="112"/>
      <c r="E13" s="112"/>
      <c r="F13" s="113"/>
      <c r="G13" s="65" t="s">
        <v>69</v>
      </c>
      <c r="H13" s="65" t="s">
        <v>71</v>
      </c>
      <c r="I13" s="93"/>
      <c r="J13" s="93"/>
      <c r="K13" s="93"/>
      <c r="L13" s="93"/>
    </row>
    <row r="14" spans="1:12" s="59" customFormat="1" x14ac:dyDescent="0.25">
      <c r="A14" s="63">
        <v>1</v>
      </c>
      <c r="B14" s="63">
        <v>2</v>
      </c>
      <c r="C14" s="114">
        <v>3</v>
      </c>
      <c r="D14" s="115"/>
      <c r="E14" s="115"/>
      <c r="F14" s="116"/>
      <c r="G14" s="63">
        <v>4</v>
      </c>
      <c r="H14" s="63">
        <v>5</v>
      </c>
      <c r="I14" s="107">
        <v>6</v>
      </c>
      <c r="J14" s="107"/>
      <c r="K14" s="107"/>
      <c r="L14" s="107"/>
    </row>
    <row r="15" spans="1:12" x14ac:dyDescent="0.25">
      <c r="A15" s="64"/>
      <c r="B15" s="64"/>
      <c r="C15" s="98"/>
      <c r="D15" s="99"/>
      <c r="E15" s="99"/>
      <c r="F15" s="100"/>
      <c r="G15" s="64"/>
      <c r="H15" s="64"/>
      <c r="I15" s="117"/>
      <c r="J15" s="117"/>
      <c r="K15" s="117"/>
      <c r="L15" s="117"/>
    </row>
    <row r="16" spans="1:12" x14ac:dyDescent="0.25">
      <c r="A16" s="64"/>
      <c r="B16" s="64"/>
      <c r="C16" s="98"/>
      <c r="D16" s="99"/>
      <c r="E16" s="99"/>
      <c r="F16" s="100"/>
      <c r="G16" s="64"/>
      <c r="H16" s="64"/>
      <c r="I16" s="117"/>
      <c r="J16" s="117"/>
      <c r="K16" s="117"/>
      <c r="L16" s="117"/>
    </row>
    <row r="17" spans="1:12" x14ac:dyDescent="0.25">
      <c r="A17" s="64"/>
      <c r="B17" s="64"/>
      <c r="C17" s="98"/>
      <c r="D17" s="99"/>
      <c r="E17" s="99"/>
      <c r="F17" s="100"/>
      <c r="G17" s="64"/>
      <c r="H17" s="64"/>
      <c r="I17" s="117"/>
      <c r="J17" s="117"/>
      <c r="K17" s="117"/>
      <c r="L17" s="117"/>
    </row>
    <row r="18" spans="1:12" x14ac:dyDescent="0.25">
      <c r="A18" s="64"/>
      <c r="B18" s="64"/>
      <c r="C18" s="98"/>
      <c r="D18" s="99"/>
      <c r="E18" s="99"/>
      <c r="F18" s="100"/>
      <c r="G18" s="64"/>
      <c r="H18" s="64"/>
      <c r="I18" s="117"/>
      <c r="J18" s="117"/>
      <c r="K18" s="117"/>
      <c r="L18" s="117"/>
    </row>
    <row r="19" spans="1:12" x14ac:dyDescent="0.25">
      <c r="A19" s="64"/>
      <c r="B19" s="64"/>
      <c r="C19" s="98"/>
      <c r="D19" s="99"/>
      <c r="E19" s="99"/>
      <c r="F19" s="100"/>
      <c r="G19" s="64"/>
      <c r="H19" s="64"/>
      <c r="I19" s="117"/>
      <c r="J19" s="117"/>
      <c r="K19" s="117"/>
      <c r="L19" s="117"/>
    </row>
    <row r="20" spans="1:12" x14ac:dyDescent="0.25">
      <c r="A20" s="64"/>
      <c r="B20" s="64"/>
      <c r="C20" s="98"/>
      <c r="D20" s="99"/>
      <c r="E20" s="99"/>
      <c r="F20" s="100"/>
      <c r="G20" s="64"/>
      <c r="H20" s="64"/>
      <c r="I20" s="117"/>
      <c r="J20" s="117"/>
      <c r="K20" s="117"/>
      <c r="L20" s="117"/>
    </row>
    <row r="21" spans="1:12" x14ac:dyDescent="0.25">
      <c r="A21" s="64"/>
      <c r="B21" s="64"/>
      <c r="C21" s="98"/>
      <c r="D21" s="99"/>
      <c r="E21" s="99"/>
      <c r="F21" s="100"/>
      <c r="G21" s="64"/>
      <c r="H21" s="64"/>
      <c r="I21" s="117"/>
      <c r="J21" s="117"/>
      <c r="K21" s="117"/>
      <c r="L21" s="117"/>
    </row>
    <row r="24" spans="1:12" x14ac:dyDescent="0.25">
      <c r="A24" s="76" t="s">
        <v>117</v>
      </c>
      <c r="B24" s="76"/>
      <c r="E24" s="107" t="s">
        <v>119</v>
      </c>
      <c r="F24" s="107"/>
      <c r="G24" s="107"/>
      <c r="H24" s="107" t="s">
        <v>122</v>
      </c>
      <c r="I24" s="107"/>
      <c r="J24" s="107"/>
      <c r="K24" s="107" t="s">
        <v>123</v>
      </c>
      <c r="L24" s="107"/>
    </row>
    <row r="25" spans="1:12" x14ac:dyDescent="0.25">
      <c r="E25" s="97"/>
      <c r="F25" s="97"/>
      <c r="G25" s="97"/>
      <c r="H25" s="97"/>
      <c r="I25" s="97"/>
      <c r="J25" s="97"/>
      <c r="K25" s="97"/>
      <c r="L25" s="97"/>
    </row>
    <row r="26" spans="1:12" x14ac:dyDescent="0.25">
      <c r="E26" s="96"/>
      <c r="F26" s="96"/>
      <c r="G26" s="96"/>
      <c r="H26" s="96"/>
      <c r="I26" s="96"/>
      <c r="J26" s="96"/>
      <c r="K26" s="96"/>
      <c r="L26" s="96"/>
    </row>
    <row r="27" spans="1:12" x14ac:dyDescent="0.25">
      <c r="E27" s="96"/>
      <c r="F27" s="96"/>
      <c r="G27" s="96"/>
      <c r="H27" s="96"/>
      <c r="I27" s="96"/>
      <c r="J27" s="96"/>
      <c r="K27" s="96"/>
      <c r="L27" s="96"/>
    </row>
    <row r="28" spans="1:12" x14ac:dyDescent="0.25">
      <c r="E28" s="96"/>
      <c r="F28" s="96"/>
      <c r="G28" s="96"/>
      <c r="H28" s="96"/>
      <c r="I28" s="96"/>
      <c r="J28" s="96"/>
      <c r="K28" s="96"/>
      <c r="L28" s="96"/>
    </row>
    <row r="29" spans="1:12" x14ac:dyDescent="0.25">
      <c r="A29" s="58" t="s">
        <v>118</v>
      </c>
      <c r="E29" s="95"/>
      <c r="F29" s="95"/>
      <c r="G29" s="95"/>
      <c r="H29" s="95"/>
      <c r="I29" s="95"/>
      <c r="J29" s="95"/>
      <c r="K29" s="95"/>
      <c r="L29" s="95"/>
    </row>
    <row r="32" spans="1:12" x14ac:dyDescent="0.25">
      <c r="A32" s="58" t="s">
        <v>120</v>
      </c>
    </row>
  </sheetData>
  <mergeCells count="41">
    <mergeCell ref="A12:A13"/>
    <mergeCell ref="B12:B13"/>
    <mergeCell ref="C12:F13"/>
    <mergeCell ref="G12:H12"/>
    <mergeCell ref="I12:L13"/>
    <mergeCell ref="C14:F14"/>
    <mergeCell ref="I14:L14"/>
    <mergeCell ref="C15:F15"/>
    <mergeCell ref="I15:L15"/>
    <mergeCell ref="C16:F16"/>
    <mergeCell ref="I16:L16"/>
    <mergeCell ref="C17:F17"/>
    <mergeCell ref="I17:L17"/>
    <mergeCell ref="C18:F18"/>
    <mergeCell ref="I18:L18"/>
    <mergeCell ref="C19:F19"/>
    <mergeCell ref="I19:L19"/>
    <mergeCell ref="C20:F20"/>
    <mergeCell ref="I20:L20"/>
    <mergeCell ref="C21:F21"/>
    <mergeCell ref="I21:L21"/>
    <mergeCell ref="A24:B24"/>
    <mergeCell ref="E24:G24"/>
    <mergeCell ref="H24:J24"/>
    <mergeCell ref="K24:L24"/>
    <mergeCell ref="E29:G29"/>
    <mergeCell ref="H29:J29"/>
    <mergeCell ref="K29:L29"/>
    <mergeCell ref="A2:L2"/>
    <mergeCell ref="E27:G27"/>
    <mergeCell ref="H27:J27"/>
    <mergeCell ref="K27:L27"/>
    <mergeCell ref="E28:G28"/>
    <mergeCell ref="H28:J28"/>
    <mergeCell ref="K28:L28"/>
    <mergeCell ref="E25:G25"/>
    <mergeCell ref="H25:J25"/>
    <mergeCell ref="K25:L25"/>
    <mergeCell ref="E26:G26"/>
    <mergeCell ref="H26:J26"/>
    <mergeCell ref="K26:L26"/>
  </mergeCells>
  <pageMargins left="0.7" right="0.7" top="0.75" bottom="0.75" header="0.3" footer="0.3"/>
  <pageSetup paperSize="9" scale="90" orientation="portrait" horizontalDpi="4294967293" verticalDpi="36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49"/>
  <sheetViews>
    <sheetView tabSelected="1" view="pageBreakPreview" topLeftCell="A16" zoomScale="85" zoomScaleNormal="160" zoomScaleSheetLayoutView="85" workbookViewId="0">
      <selection activeCell="F30" sqref="F30"/>
    </sheetView>
  </sheetViews>
  <sheetFormatPr defaultRowHeight="15" x14ac:dyDescent="0.25"/>
  <cols>
    <col min="1" max="1" width="5" customWidth="1"/>
    <col min="2" max="2" width="23.140625" customWidth="1"/>
    <col min="3" max="3" width="2.7109375" customWidth="1"/>
    <col min="5" max="5" width="13.140625" customWidth="1"/>
    <col min="6" max="6" width="20.85546875" customWidth="1"/>
    <col min="7" max="7" width="7.5703125" customWidth="1"/>
    <col min="8" max="9" width="12.28515625" customWidth="1"/>
    <col min="10" max="10" width="7.5703125" customWidth="1"/>
    <col min="14" max="14" width="16.5703125" customWidth="1"/>
  </cols>
  <sheetData>
    <row r="3" spans="1:15" s="43" customFormat="1" x14ac:dyDescent="0.25"/>
    <row r="6" spans="1:15" x14ac:dyDescent="0.25">
      <c r="A6" s="8"/>
      <c r="B6" s="8"/>
      <c r="C6" s="8"/>
      <c r="D6" s="8"/>
      <c r="E6" s="8"/>
      <c r="F6" s="8"/>
      <c r="G6" s="8"/>
      <c r="H6" s="8"/>
      <c r="I6" s="8"/>
      <c r="J6" s="8"/>
      <c r="K6" s="8"/>
      <c r="L6" s="8"/>
      <c r="M6" s="8"/>
      <c r="N6" s="8"/>
      <c r="O6" s="8"/>
    </row>
    <row r="7" spans="1:15" ht="26.25" x14ac:dyDescent="0.4">
      <c r="A7" s="126" t="s">
        <v>124</v>
      </c>
      <c r="B7" s="126"/>
      <c r="C7" s="126"/>
      <c r="D7" s="126"/>
      <c r="E7" s="126"/>
      <c r="F7" s="126"/>
      <c r="G7" s="126"/>
      <c r="H7" s="126"/>
      <c r="I7" s="126"/>
      <c r="J7" s="126"/>
      <c r="K7" s="126"/>
      <c r="L7" s="126"/>
      <c r="M7" s="126"/>
      <c r="N7" s="126"/>
      <c r="O7" s="126"/>
    </row>
    <row r="9" spans="1:15" x14ac:dyDescent="0.25">
      <c r="A9" t="s">
        <v>40</v>
      </c>
      <c r="C9" t="s">
        <v>15</v>
      </c>
      <c r="D9" t="s">
        <v>31</v>
      </c>
    </row>
    <row r="10" spans="1:15" x14ac:dyDescent="0.25">
      <c r="A10" t="s">
        <v>127</v>
      </c>
      <c r="C10" t="s">
        <v>15</v>
      </c>
      <c r="D10" t="s">
        <v>153</v>
      </c>
    </row>
    <row r="11" spans="1:15" x14ac:dyDescent="0.25">
      <c r="A11" t="s">
        <v>128</v>
      </c>
      <c r="C11" t="s">
        <v>15</v>
      </c>
      <c r="D11" t="s">
        <v>160</v>
      </c>
    </row>
    <row r="12" spans="1:15" x14ac:dyDescent="0.25">
      <c r="A12" t="s">
        <v>152</v>
      </c>
      <c r="C12" t="s">
        <v>15</v>
      </c>
      <c r="D12" s="42" t="s">
        <v>154</v>
      </c>
    </row>
    <row r="13" spans="1:15" x14ac:dyDescent="0.25">
      <c r="A13" t="s">
        <v>125</v>
      </c>
      <c r="C13" t="s">
        <v>15</v>
      </c>
      <c r="D13" t="s">
        <v>155</v>
      </c>
    </row>
    <row r="14" spans="1:15" x14ac:dyDescent="0.25">
      <c r="A14" t="s">
        <v>126</v>
      </c>
      <c r="C14" t="s">
        <v>15</v>
      </c>
      <c r="D14" t="s">
        <v>156</v>
      </c>
    </row>
    <row r="16" spans="1:15" s="13" customFormat="1" ht="18.75" customHeight="1" x14ac:dyDescent="0.25">
      <c r="A16" s="93" t="s">
        <v>129</v>
      </c>
      <c r="B16" s="93" t="s">
        <v>92</v>
      </c>
      <c r="C16" s="93"/>
      <c r="D16" s="93" t="s">
        <v>6</v>
      </c>
      <c r="E16" s="94" t="s">
        <v>130</v>
      </c>
      <c r="F16" s="94" t="s">
        <v>131</v>
      </c>
      <c r="G16" s="93" t="s">
        <v>133</v>
      </c>
      <c r="H16" s="93"/>
      <c r="I16" s="93"/>
      <c r="J16" s="93"/>
      <c r="K16" s="94" t="s">
        <v>141</v>
      </c>
      <c r="L16" s="94" t="s">
        <v>137</v>
      </c>
      <c r="M16" s="94" t="s">
        <v>138</v>
      </c>
      <c r="N16" s="94" t="s">
        <v>140</v>
      </c>
      <c r="O16" s="94" t="s">
        <v>139</v>
      </c>
    </row>
    <row r="17" spans="1:15" s="1" customFormat="1" ht="27.75" customHeight="1" x14ac:dyDescent="0.25">
      <c r="A17" s="93"/>
      <c r="B17" s="93"/>
      <c r="C17" s="93"/>
      <c r="D17" s="93"/>
      <c r="E17" s="94"/>
      <c r="F17" s="94"/>
      <c r="G17" s="39" t="s">
        <v>132</v>
      </c>
      <c r="H17" s="39" t="s">
        <v>135</v>
      </c>
      <c r="I17" s="39" t="s">
        <v>134</v>
      </c>
      <c r="J17" s="39" t="s">
        <v>136</v>
      </c>
      <c r="K17" s="94"/>
      <c r="L17" s="94"/>
      <c r="M17" s="94"/>
      <c r="N17" s="94"/>
      <c r="O17" s="94"/>
    </row>
    <row r="18" spans="1:15" s="5" customFormat="1" x14ac:dyDescent="0.25">
      <c r="A18" s="32">
        <v>1</v>
      </c>
      <c r="B18" s="107">
        <f>A18+1</f>
        <v>2</v>
      </c>
      <c r="C18" s="107"/>
      <c r="D18" s="32">
        <f>B18+1</f>
        <v>3</v>
      </c>
      <c r="E18" s="32">
        <f>D18+1</f>
        <v>4</v>
      </c>
      <c r="F18" s="32">
        <f t="shared" ref="F18:O18" si="0">E18+1</f>
        <v>5</v>
      </c>
      <c r="G18" s="32">
        <f t="shared" si="0"/>
        <v>6</v>
      </c>
      <c r="H18" s="32">
        <f t="shared" si="0"/>
        <v>7</v>
      </c>
      <c r="I18" s="32">
        <f t="shared" si="0"/>
        <v>8</v>
      </c>
      <c r="J18" s="32">
        <f t="shared" si="0"/>
        <v>9</v>
      </c>
      <c r="K18" s="32">
        <f t="shared" si="0"/>
        <v>10</v>
      </c>
      <c r="L18" s="32">
        <f t="shared" si="0"/>
        <v>11</v>
      </c>
      <c r="M18" s="32">
        <f t="shared" si="0"/>
        <v>12</v>
      </c>
      <c r="N18" s="32">
        <f t="shared" si="0"/>
        <v>13</v>
      </c>
      <c r="O18" s="32">
        <f t="shared" si="0"/>
        <v>14</v>
      </c>
    </row>
    <row r="19" spans="1:15" x14ac:dyDescent="0.25">
      <c r="A19" s="33"/>
      <c r="B19" s="117"/>
      <c r="C19" s="117"/>
      <c r="D19" s="33"/>
      <c r="E19" s="33"/>
      <c r="F19" s="33"/>
      <c r="G19" s="33"/>
      <c r="H19" s="33"/>
      <c r="I19" s="33"/>
      <c r="J19" s="33"/>
      <c r="K19" s="33"/>
      <c r="L19" s="33"/>
      <c r="M19" s="33"/>
      <c r="N19" s="33"/>
      <c r="O19" s="33"/>
    </row>
    <row r="20" spans="1:15" x14ac:dyDescent="0.25">
      <c r="A20" s="33"/>
      <c r="B20" s="117"/>
      <c r="C20" s="117"/>
      <c r="D20" s="33"/>
      <c r="E20" s="33"/>
      <c r="F20" s="33"/>
      <c r="G20" s="33"/>
      <c r="H20" s="33"/>
      <c r="I20" s="33"/>
      <c r="J20" s="33"/>
      <c r="K20" s="33"/>
      <c r="L20" s="33"/>
      <c r="M20" s="33"/>
      <c r="N20" s="33"/>
      <c r="O20" s="33"/>
    </row>
    <row r="21" spans="1:15" x14ac:dyDescent="0.25">
      <c r="A21" s="33"/>
      <c r="B21" s="117"/>
      <c r="C21" s="117"/>
      <c r="D21" s="33"/>
      <c r="E21" s="33"/>
      <c r="F21" s="33"/>
      <c r="G21" s="33"/>
      <c r="H21" s="33"/>
      <c r="I21" s="33"/>
      <c r="J21" s="33"/>
      <c r="K21" s="33"/>
      <c r="L21" s="33"/>
      <c r="M21" s="33"/>
      <c r="N21" s="33"/>
      <c r="O21" s="33"/>
    </row>
    <row r="22" spans="1:15" x14ac:dyDescent="0.25">
      <c r="A22" s="33"/>
      <c r="B22" s="117"/>
      <c r="C22" s="117"/>
      <c r="D22" s="33"/>
      <c r="E22" s="33"/>
      <c r="F22" s="33"/>
      <c r="G22" s="33"/>
      <c r="H22" s="33"/>
      <c r="I22" s="33"/>
      <c r="J22" s="33"/>
      <c r="K22" s="33"/>
      <c r="L22" s="33"/>
      <c r="M22" s="33"/>
      <c r="N22" s="33"/>
      <c r="O22" s="33"/>
    </row>
    <row r="23" spans="1:15" x14ac:dyDescent="0.25">
      <c r="A23" s="33"/>
      <c r="B23" s="117"/>
      <c r="C23" s="117"/>
      <c r="D23" s="33"/>
      <c r="E23" s="33"/>
      <c r="F23" s="33"/>
      <c r="G23" s="33"/>
      <c r="H23" s="33"/>
      <c r="I23" s="33"/>
      <c r="J23" s="33"/>
      <c r="K23" s="33"/>
      <c r="L23" s="33"/>
      <c r="M23" s="33"/>
      <c r="N23" s="33"/>
      <c r="O23" s="33"/>
    </row>
    <row r="24" spans="1:15" x14ac:dyDescent="0.25">
      <c r="A24" s="33"/>
      <c r="B24" s="117"/>
      <c r="C24" s="117"/>
      <c r="D24" s="33"/>
      <c r="E24" s="33"/>
      <c r="F24" s="33"/>
      <c r="G24" s="33"/>
      <c r="H24" s="33"/>
      <c r="I24" s="33"/>
      <c r="J24" s="33"/>
      <c r="K24" s="33"/>
      <c r="L24" s="33"/>
      <c r="M24" s="33"/>
      <c r="N24" s="33"/>
      <c r="O24" s="33"/>
    </row>
    <row r="27" spans="1:15" x14ac:dyDescent="0.25">
      <c r="L27" t="str">
        <f>'TIME SHEET'!G33</f>
        <v>Marapokot, 11 September 2023</v>
      </c>
    </row>
    <row r="29" spans="1:15" x14ac:dyDescent="0.25">
      <c r="L29" s="86" t="str">
        <f>'TIME SHEET'!G35</f>
        <v>Perusahaan Bongkar muat dan Jasa Pengurusan Transportasi</v>
      </c>
      <c r="M29" s="86"/>
      <c r="N29" s="86"/>
      <c r="O29" s="86"/>
    </row>
    <row r="30" spans="1:15" x14ac:dyDescent="0.25">
      <c r="L30" s="86"/>
      <c r="M30" s="86"/>
      <c r="N30" s="86"/>
      <c r="O30" s="86"/>
    </row>
    <row r="31" spans="1:15" x14ac:dyDescent="0.25">
      <c r="L31" s="1" t="str">
        <f>'TIME SHEET'!G37</f>
        <v>PT. EMKA JAYA UTAMA</v>
      </c>
    </row>
    <row r="36" spans="12:12" x14ac:dyDescent="0.25">
      <c r="L36" s="4" t="str">
        <f>'TIME SHEET'!G44</f>
        <v>HILARIUS MBUSA</v>
      </c>
    </row>
    <row r="37" spans="12:12" x14ac:dyDescent="0.25">
      <c r="L37" t="str">
        <f>'TIME SHEET'!G45</f>
        <v>Direktur</v>
      </c>
    </row>
    <row r="49" spans="13:13" x14ac:dyDescent="0.25">
      <c r="M49" t="s">
        <v>103</v>
      </c>
    </row>
  </sheetData>
  <mergeCells count="20">
    <mergeCell ref="L29:O30"/>
    <mergeCell ref="B22:C22"/>
    <mergeCell ref="B23:C23"/>
    <mergeCell ref="B24:C24"/>
    <mergeCell ref="G16:J16"/>
    <mergeCell ref="B16:C17"/>
    <mergeCell ref="D16:D17"/>
    <mergeCell ref="E16:E17"/>
    <mergeCell ref="F16:F17"/>
    <mergeCell ref="B18:C18"/>
    <mergeCell ref="B19:C19"/>
    <mergeCell ref="B20:C20"/>
    <mergeCell ref="B21:C21"/>
    <mergeCell ref="A7:O7"/>
    <mergeCell ref="K16:K17"/>
    <mergeCell ref="L16:L17"/>
    <mergeCell ref="M16:M17"/>
    <mergeCell ref="N16:N17"/>
    <mergeCell ref="O16:O17"/>
    <mergeCell ref="A16:A17"/>
  </mergeCells>
  <printOptions horizontalCentered="1"/>
  <pageMargins left="0.70866141732283472" right="0.70866141732283472" top="0.74803149606299213" bottom="0.74803149606299213" header="0.31496062992125984" footer="0.31496062992125984"/>
  <pageSetup paperSize="9" scale="75" orientation="landscape" horizontalDpi="4294967293"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J37"/>
  <sheetViews>
    <sheetView view="pageBreakPreview" topLeftCell="A7" zoomScaleNormal="100" zoomScaleSheetLayoutView="100" workbookViewId="0">
      <selection activeCell="A9" sqref="A9:J9"/>
    </sheetView>
  </sheetViews>
  <sheetFormatPr defaultRowHeight="15" x14ac:dyDescent="0.25"/>
  <cols>
    <col min="1" max="1" width="7.85546875" customWidth="1"/>
    <col min="2" max="2" width="23" customWidth="1"/>
    <col min="3" max="3" width="22" customWidth="1"/>
    <col min="4" max="5" width="15.85546875" customWidth="1"/>
    <col min="6" max="6" width="15.28515625" customWidth="1"/>
    <col min="7" max="8" width="16.28515625" customWidth="1"/>
    <col min="9" max="9" width="20.7109375" customWidth="1"/>
    <col min="10" max="10" width="10.42578125" customWidth="1"/>
  </cols>
  <sheetData>
    <row r="7" spans="1:10" ht="23.25" x14ac:dyDescent="0.25">
      <c r="A7" s="127" t="s">
        <v>142</v>
      </c>
      <c r="B7" s="127"/>
      <c r="C7" s="127"/>
      <c r="D7" s="127"/>
      <c r="E7" s="127"/>
      <c r="F7" s="127"/>
      <c r="G7" s="127"/>
      <c r="H7" s="127"/>
      <c r="I7" s="127"/>
      <c r="J7" s="127"/>
    </row>
    <row r="8" spans="1:10" ht="23.25" x14ac:dyDescent="0.25">
      <c r="A8" s="127" t="s">
        <v>31</v>
      </c>
      <c r="B8" s="127"/>
      <c r="C8" s="127"/>
      <c r="D8" s="127"/>
      <c r="E8" s="127"/>
      <c r="F8" s="127"/>
      <c r="G8" s="127"/>
      <c r="H8" s="127"/>
      <c r="I8" s="127"/>
      <c r="J8" s="127"/>
    </row>
    <row r="9" spans="1:10" ht="18.75" x14ac:dyDescent="0.25">
      <c r="A9" s="128" t="s">
        <v>143</v>
      </c>
      <c r="B9" s="128"/>
      <c r="C9" s="128"/>
      <c r="D9" s="128"/>
      <c r="E9" s="128"/>
      <c r="F9" s="128"/>
      <c r="G9" s="128"/>
      <c r="H9" s="128"/>
      <c r="I9" s="128"/>
      <c r="J9" s="128"/>
    </row>
    <row r="12" spans="1:10" s="38" customFormat="1" ht="48" customHeight="1" x14ac:dyDescent="0.25">
      <c r="A12" s="15" t="s">
        <v>111</v>
      </c>
      <c r="B12" s="15" t="s">
        <v>144</v>
      </c>
      <c r="C12" s="39" t="s">
        <v>145</v>
      </c>
      <c r="D12" s="39" t="s">
        <v>146</v>
      </c>
      <c r="E12" s="39" t="s">
        <v>147</v>
      </c>
      <c r="F12" s="39" t="s">
        <v>148</v>
      </c>
      <c r="G12" s="39" t="s">
        <v>149</v>
      </c>
      <c r="H12" s="39" t="s">
        <v>151</v>
      </c>
      <c r="I12" s="39" t="s">
        <v>150</v>
      </c>
      <c r="J12" s="15" t="s">
        <v>139</v>
      </c>
    </row>
    <row r="13" spans="1:10" s="5" customFormat="1" x14ac:dyDescent="0.25">
      <c r="A13" s="32">
        <v>1</v>
      </c>
      <c r="B13" s="32">
        <f>A13+1</f>
        <v>2</v>
      </c>
      <c r="C13" s="32">
        <f t="shared" ref="C13:J13" si="0">B13+1</f>
        <v>3</v>
      </c>
      <c r="D13" s="32">
        <f t="shared" si="0"/>
        <v>4</v>
      </c>
      <c r="E13" s="32">
        <f t="shared" si="0"/>
        <v>5</v>
      </c>
      <c r="F13" s="32">
        <f t="shared" si="0"/>
        <v>6</v>
      </c>
      <c r="G13" s="32">
        <f t="shared" si="0"/>
        <v>7</v>
      </c>
      <c r="H13" s="32">
        <f t="shared" si="0"/>
        <v>8</v>
      </c>
      <c r="I13" s="32">
        <f t="shared" si="0"/>
        <v>9</v>
      </c>
      <c r="J13" s="32">
        <f t="shared" si="0"/>
        <v>10</v>
      </c>
    </row>
    <row r="14" spans="1:10" x14ac:dyDescent="0.25">
      <c r="A14" s="33"/>
      <c r="B14" s="33"/>
      <c r="C14" s="33"/>
      <c r="D14" s="33"/>
      <c r="E14" s="33"/>
      <c r="F14" s="33"/>
      <c r="G14" s="33"/>
      <c r="H14" s="33"/>
      <c r="I14" s="33"/>
      <c r="J14" s="33"/>
    </row>
    <row r="15" spans="1:10" x14ac:dyDescent="0.25">
      <c r="A15" s="33"/>
      <c r="B15" s="33"/>
      <c r="C15" s="33"/>
      <c r="D15" s="33"/>
      <c r="E15" s="33"/>
      <c r="F15" s="33"/>
      <c r="G15" s="33"/>
      <c r="H15" s="33"/>
      <c r="I15" s="33"/>
      <c r="J15" s="33"/>
    </row>
    <row r="16" spans="1:10" x14ac:dyDescent="0.25">
      <c r="A16" s="33"/>
      <c r="B16" s="33"/>
      <c r="C16" s="33"/>
      <c r="D16" s="33"/>
      <c r="E16" s="33"/>
      <c r="F16" s="33"/>
      <c r="G16" s="33"/>
      <c r="H16" s="33"/>
      <c r="I16" s="33"/>
      <c r="J16" s="33"/>
    </row>
    <row r="17" spans="1:10" x14ac:dyDescent="0.25">
      <c r="A17" s="33"/>
      <c r="B17" s="33"/>
      <c r="C17" s="33"/>
      <c r="D17" s="33"/>
      <c r="E17" s="33"/>
      <c r="F17" s="33"/>
      <c r="G17" s="33"/>
      <c r="H17" s="33"/>
      <c r="I17" s="33"/>
      <c r="J17" s="33"/>
    </row>
    <row r="18" spans="1:10" x14ac:dyDescent="0.25">
      <c r="A18" s="33"/>
      <c r="B18" s="33"/>
      <c r="C18" s="33"/>
      <c r="D18" s="33"/>
      <c r="E18" s="33"/>
      <c r="F18" s="33"/>
      <c r="G18" s="33"/>
      <c r="H18" s="33"/>
      <c r="I18" s="33"/>
      <c r="J18" s="33"/>
    </row>
    <row r="19" spans="1:10" x14ac:dyDescent="0.25">
      <c r="A19" s="33"/>
      <c r="B19" s="33"/>
      <c r="C19" s="33"/>
      <c r="D19" s="33"/>
      <c r="E19" s="33"/>
      <c r="F19" s="33"/>
      <c r="G19" s="33"/>
      <c r="H19" s="33"/>
      <c r="I19" s="33"/>
      <c r="J19" s="33"/>
    </row>
    <row r="20" spans="1:10" x14ac:dyDescent="0.25">
      <c r="A20" s="33"/>
      <c r="B20" s="33"/>
      <c r="C20" s="33"/>
      <c r="D20" s="33"/>
      <c r="E20" s="33"/>
      <c r="F20" s="33"/>
      <c r="G20" s="33"/>
      <c r="H20" s="33"/>
      <c r="I20" s="33"/>
      <c r="J20" s="33"/>
    </row>
    <row r="21" spans="1:10" x14ac:dyDescent="0.25">
      <c r="A21" s="33"/>
      <c r="B21" s="33"/>
      <c r="C21" s="33"/>
      <c r="D21" s="33"/>
      <c r="E21" s="33"/>
      <c r="F21" s="33"/>
      <c r="G21" s="33"/>
      <c r="H21" s="33"/>
      <c r="I21" s="33"/>
      <c r="J21" s="33"/>
    </row>
    <row r="22" spans="1:10" x14ac:dyDescent="0.25">
      <c r="A22" s="33"/>
      <c r="B22" s="33"/>
      <c r="C22" s="33"/>
      <c r="D22" s="33"/>
      <c r="E22" s="33"/>
      <c r="F22" s="33"/>
      <c r="G22" s="33"/>
      <c r="H22" s="33"/>
      <c r="I22" s="33"/>
      <c r="J22" s="33"/>
    </row>
    <row r="25" spans="1:10" x14ac:dyDescent="0.25">
      <c r="G25" t="str">
        <f>'LAPORAN BLNAN'!L27</f>
        <v>Marapokot, 11 September 2023</v>
      </c>
    </row>
    <row r="27" spans="1:10" ht="15" customHeight="1" x14ac:dyDescent="0.25">
      <c r="G27" s="129" t="str">
        <f>'LAPORAN BLNAN'!L29</f>
        <v>Perusahaan Bongkar muat dan Jasa Pengurusan Transportasi</v>
      </c>
      <c r="H27" s="129"/>
      <c r="I27" s="129"/>
      <c r="J27" s="29"/>
    </row>
    <row r="28" spans="1:10" x14ac:dyDescent="0.25">
      <c r="G28" s="129"/>
      <c r="H28" s="129"/>
      <c r="I28" s="129"/>
      <c r="J28" s="29"/>
    </row>
    <row r="29" spans="1:10" x14ac:dyDescent="0.25">
      <c r="G29" s="1" t="str">
        <f>'LAPORAN BLNAN'!L31</f>
        <v>PT. EMKA JAYA UTAMA</v>
      </c>
    </row>
    <row r="36" spans="7:7" x14ac:dyDescent="0.25">
      <c r="G36" s="4" t="str">
        <f>'LAPORAN BLNAN'!L36</f>
        <v>HILARIUS MBUSA</v>
      </c>
    </row>
    <row r="37" spans="7:7" x14ac:dyDescent="0.25">
      <c r="G37" t="str">
        <f>'LAPORAN BLNAN'!L37</f>
        <v>Direktur</v>
      </c>
    </row>
  </sheetData>
  <mergeCells count="4">
    <mergeCell ref="A7:J7"/>
    <mergeCell ref="A8:J8"/>
    <mergeCell ref="A9:J9"/>
    <mergeCell ref="G27:I28"/>
  </mergeCells>
  <pageMargins left="0.7" right="0.7" top="0.75" bottom="0.75" header="0.3" footer="0.3"/>
  <pageSetup paperSize="9" scale="80" orientation="landscape" horizontalDpi="4294967293" verticalDpi="36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6"/>
  <sheetViews>
    <sheetView workbookViewId="0">
      <selection activeCell="A9" sqref="A9:J9"/>
    </sheetView>
  </sheetViews>
  <sheetFormatPr defaultRowHeight="15" x14ac:dyDescent="0.25"/>
  <cols>
    <col min="1" max="1" width="11" customWidth="1"/>
    <col min="2" max="2" width="3.5703125" customWidth="1"/>
  </cols>
  <sheetData>
    <row r="2" spans="1:2" x14ac:dyDescent="0.25">
      <c r="A2" t="s">
        <v>0</v>
      </c>
      <c r="B2" t="s">
        <v>15</v>
      </c>
    </row>
    <row r="3" spans="1:2" x14ac:dyDescent="0.25">
      <c r="A3" t="s">
        <v>157</v>
      </c>
      <c r="B3" s="41" t="s">
        <v>15</v>
      </c>
    </row>
    <row r="4" spans="1:2" x14ac:dyDescent="0.25">
      <c r="A4" t="s">
        <v>2</v>
      </c>
      <c r="B4" s="41" t="s">
        <v>15</v>
      </c>
    </row>
    <row r="6" spans="1:2" x14ac:dyDescent="0.25">
      <c r="A6" s="19" t="s">
        <v>158</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11</vt:i4>
      </vt:variant>
    </vt:vector>
  </HeadingPairs>
  <TitlesOfParts>
    <vt:vector size="26" baseType="lpstr">
      <vt:lpstr>IZIN BONGKAR</vt:lpstr>
      <vt:lpstr>IZIN MENGELUARKAN BARANG</vt:lpstr>
      <vt:lpstr>IZIN PEMASUKAN BARANG</vt:lpstr>
      <vt:lpstr>IZIN PENUMPUKAN</vt:lpstr>
      <vt:lpstr>IZIN T4 PENUMPUKAN</vt:lpstr>
      <vt:lpstr>BA  PENUMPUKAN</vt:lpstr>
      <vt:lpstr>BA  PENGELUARAN</vt:lpstr>
      <vt:lpstr>BA BONGKA MUAT</vt:lpstr>
      <vt:lpstr>BA JPT</vt:lpstr>
      <vt:lpstr>TIME SHEET</vt:lpstr>
      <vt:lpstr>SURAT JALAN</vt:lpstr>
      <vt:lpstr>SURAT JALAN (2)</vt:lpstr>
      <vt:lpstr>LAPORAN BLNAN</vt:lpstr>
      <vt:lpstr>DKO PER 31 DES</vt:lpstr>
      <vt:lpstr>Sheet1</vt:lpstr>
      <vt:lpstr>'BA  PENGELUARAN'!Print_Area</vt:lpstr>
      <vt:lpstr>'BA  PENUMPUKAN'!Print_Area</vt:lpstr>
      <vt:lpstr>'BA BONGKA MUAT'!Print_Area</vt:lpstr>
      <vt:lpstr>'DKO PER 31 DES'!Print_Area</vt:lpstr>
      <vt:lpstr>'IZIN PEMASUKAN BARANG'!Print_Area</vt:lpstr>
      <vt:lpstr>'IZIN PENUMPUKAN'!Print_Area</vt:lpstr>
      <vt:lpstr>'IZIN T4 PENUMPUKAN'!Print_Area</vt:lpstr>
      <vt:lpstr>'LAPORAN BLNAN'!Print_Area</vt:lpstr>
      <vt:lpstr>'SURAT JALAN'!Print_Area</vt:lpstr>
      <vt:lpstr>'SURAT JALAN (2)'!Print_Area</vt:lpstr>
      <vt:lpstr>'TIME SHEET'!Print_Area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PORTACOM</dc:creator>
  <cp:lastModifiedBy>HP</cp:lastModifiedBy>
  <cp:lastPrinted>2026-01-24T12:04:11Z</cp:lastPrinted>
  <dcterms:created xsi:type="dcterms:W3CDTF">2022-09-12T13:03:17Z</dcterms:created>
  <dcterms:modified xsi:type="dcterms:W3CDTF">2026-06-14T07:23:38Z</dcterms:modified>
</cp:coreProperties>
</file>